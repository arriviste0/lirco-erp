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055" windowHeight="10485" tabRatio="600" firstSheet="0" activeTab="0" autoFilterDateGrouping="1"/>
  </bookViews>
  <sheets>
    <sheet name="PL" sheetId="1" state="visible" r:id="rId1"/>
  </sheets>
  <definedNames>
    <definedName name="_xlnm.Print_Area" localSheetId="0">'PL'!$A$1:$M$65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&quot;&quot;0"/>
    <numFmt numFmtId="165" formatCode="&quot;&quot;0.00"/>
    <numFmt numFmtId="166" formatCode="&quot;&quot;0&quot; Kg.&quot;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A3BDF8"/>
      </patternFill>
    </fill>
    <fill>
      <patternFill patternType="solid">
        <fgColor rgb="00D9D9D9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3" fillId="0" borderId="6" applyAlignment="1" pivotButton="0" quotePrefix="0" xfId="0">
      <alignment vertical="top"/>
    </xf>
    <xf numFmtId="0" fontId="0" fillId="0" borderId="17" pivotButton="0" quotePrefix="0" xfId="0"/>
    <xf numFmtId="0" fontId="0" fillId="0" borderId="16" pivotButton="0" quotePrefix="0" xfId="0"/>
    <xf numFmtId="0" fontId="0" fillId="0" borderId="18" pivotButton="0" quotePrefix="0" xfId="0"/>
    <xf numFmtId="49" fontId="8" fillId="0" borderId="1" applyAlignment="1" pivotButton="0" quotePrefix="0" xfId="0">
      <alignment vertical="top"/>
    </xf>
    <xf numFmtId="49" fontId="10" fillId="0" borderId="0" applyAlignment="1" pivotButton="0" quotePrefix="0" xfId="0">
      <alignment vertical="top"/>
    </xf>
    <xf numFmtId="49" fontId="10" fillId="0" borderId="17" applyAlignment="1" pivotButton="0" quotePrefix="0" xfId="0">
      <alignment vertical="top"/>
    </xf>
    <xf numFmtId="0" fontId="7" fillId="0" borderId="7" pivotButton="0" quotePrefix="0" xfId="0"/>
    <xf numFmtId="0" fontId="7" fillId="0" borderId="5" pivotButton="0" quotePrefix="0" xfId="0"/>
    <xf numFmtId="49" fontId="7" fillId="0" borderId="0" applyAlignment="1" pivotButton="0" quotePrefix="0" xfId="0">
      <alignment vertical="top"/>
    </xf>
    <xf numFmtId="49" fontId="7" fillId="0" borderId="17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49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" fillId="0" borderId="0" applyAlignment="1" pivotButton="0" quotePrefix="0" xfId="0">
      <alignment vertical="top"/>
    </xf>
    <xf numFmtId="0" fontId="5" fillId="0" borderId="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5" fillId="7" borderId="19" applyAlignment="1" pivotButton="0" quotePrefix="0" xfId="0">
      <alignment horizontal="center" vertical="center" wrapText="1"/>
    </xf>
    <xf numFmtId="0" fontId="0" fillId="0" borderId="0" pivotButton="0" quotePrefix="0" xfId="0"/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164" fontId="5" fillId="0" borderId="7" applyAlignment="1" pivotButton="0" quotePrefix="0" xfId="0">
      <alignment vertical="center"/>
    </xf>
    <xf numFmtId="0" fontId="0" fillId="0" borderId="1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center" vertical="top"/>
    </xf>
    <xf numFmtId="0" fontId="11" fillId="0" borderId="1" applyAlignment="1" pivotButton="0" quotePrefix="0" xfId="0">
      <alignment vertical="top"/>
    </xf>
    <xf numFmtId="0" fontId="11" fillId="0" borderId="16" applyAlignment="1" pivotButton="0" quotePrefix="0" xfId="0">
      <alignment vertical="center"/>
    </xf>
    <xf numFmtId="0" fontId="11" fillId="0" borderId="7" applyAlignment="1" pivotButton="0" quotePrefix="0" xfId="0">
      <alignment vertical="top"/>
    </xf>
    <xf numFmtId="0" fontId="7" fillId="0" borderId="30" pivotButton="0" quotePrefix="0" xfId="0"/>
    <xf numFmtId="49" fontId="3" fillId="0" borderId="32" applyAlignment="1" pivotButton="0" quotePrefix="0" xfId="0">
      <alignment vertical="top"/>
    </xf>
    <xf numFmtId="49" fontId="10" fillId="0" borderId="28" applyAlignment="1" pivotButton="0" quotePrefix="0" xfId="0">
      <alignment vertical="top"/>
    </xf>
    <xf numFmtId="49" fontId="7" fillId="0" borderId="28" applyAlignment="1" pivotButton="0" quotePrefix="0" xfId="0">
      <alignment vertical="top"/>
    </xf>
    <xf numFmtId="0" fontId="0" fillId="0" borderId="29" pivotButton="0" quotePrefix="0" xfId="0"/>
    <xf numFmtId="164" fontId="5" fillId="0" borderId="31" applyAlignment="1" pivotButton="0" quotePrefix="0" xfId="0">
      <alignment vertical="center"/>
    </xf>
    <xf numFmtId="49" fontId="7" fillId="0" borderId="34" applyAlignment="1" pivotButton="0" quotePrefix="0" xfId="0">
      <alignment vertical="top"/>
    </xf>
    <xf numFmtId="49" fontId="1" fillId="0" borderId="28" applyAlignment="1" pivotButton="0" quotePrefix="0" xfId="0">
      <alignment vertical="top"/>
    </xf>
    <xf numFmtId="0" fontId="1" fillId="0" borderId="29" applyAlignment="1" pivotButton="0" quotePrefix="0" xfId="0">
      <alignment horizontal="left" vertical="center"/>
    </xf>
    <xf numFmtId="49" fontId="0" fillId="0" borderId="14" applyAlignment="1" pivotButton="0" quotePrefix="0" xfId="0">
      <alignment vertical="center" wrapText="1"/>
    </xf>
    <xf numFmtId="164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8" applyAlignment="1" pivotButton="0" quotePrefix="0" xfId="0">
      <alignment vertical="top"/>
    </xf>
    <xf numFmtId="49" fontId="4" fillId="0" borderId="29" applyAlignment="1" pivotButton="0" quotePrefix="0" xfId="0">
      <alignment vertical="top"/>
    </xf>
    <xf numFmtId="49" fontId="9" fillId="0" borderId="28" applyAlignment="1" pivotButton="0" quotePrefix="0" xfId="0">
      <alignment horizontal="center" vertical="top"/>
    </xf>
    <xf numFmtId="49" fontId="9" fillId="0" borderId="29" applyAlignment="1" pivotButton="0" quotePrefix="0" xfId="0">
      <alignment horizontal="center" vertical="top"/>
    </xf>
    <xf numFmtId="0" fontId="6" fillId="0" borderId="0" applyAlignment="1" pivotButton="0" quotePrefix="0" xfId="0">
      <alignment vertical="center"/>
    </xf>
    <xf numFmtId="0" fontId="7" fillId="0" borderId="28" pivotButton="0" quotePrefix="0" xfId="0"/>
    <xf numFmtId="0" fontId="7" fillId="0" borderId="0" pivotButton="0" quotePrefix="0" xfId="0"/>
    <xf numFmtId="0" fontId="10" fillId="0" borderId="0" pivotButton="0" quotePrefix="0" xfId="0"/>
    <xf numFmtId="0" fontId="10" fillId="0" borderId="17" pivotButton="0" quotePrefix="0" xfId="0"/>
    <xf numFmtId="49" fontId="11" fillId="0" borderId="2" applyAlignment="1" pivotButton="0" quotePrefix="0" xfId="0">
      <alignment vertical="top"/>
    </xf>
    <xf numFmtId="49" fontId="9" fillId="0" borderId="0" applyAlignment="1" pivotButton="0" quotePrefix="0" xfId="0">
      <alignment vertical="top"/>
    </xf>
    <xf numFmtId="49" fontId="2" fillId="0" borderId="17" applyAlignment="1" pivotButton="0" quotePrefix="0" xfId="0">
      <alignment vertical="top"/>
    </xf>
    <xf numFmtId="49" fontId="2" fillId="0" borderId="29" applyAlignment="1" pivotButton="0" quotePrefix="0" xfId="0">
      <alignment vertical="top"/>
    </xf>
    <xf numFmtId="164" fontId="8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49" fontId="8" fillId="0" borderId="28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49" fontId="9" fillId="0" borderId="35" applyAlignment="1" pivotButton="0" quotePrefix="0" xfId="0">
      <alignment horizontal="center" vertical="top"/>
    </xf>
    <xf numFmtId="49" fontId="9" fillId="0" borderId="9" applyAlignment="1" pivotButton="0" quotePrefix="0" xfId="0">
      <alignment horizontal="center" vertical="top"/>
    </xf>
    <xf numFmtId="49" fontId="9" fillId="0" borderId="36" applyAlignment="1" pivotButton="0" quotePrefix="0" xfId="0">
      <alignment horizontal="center" vertical="top"/>
    </xf>
    <xf numFmtId="49" fontId="5" fillId="2" borderId="4" applyAlignment="1" pivotButton="0" quotePrefix="0" xfId="0">
      <alignment horizontal="center" vertical="center"/>
    </xf>
    <xf numFmtId="166" fontId="5" fillId="2" borderId="15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vertical="center"/>
    </xf>
    <xf numFmtId="2" fontId="0" fillId="6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1" fontId="0" fillId="0" borderId="15" applyAlignment="1" pivotButton="0" quotePrefix="0" xfId="0">
      <alignment horizontal="center" vertical="center"/>
    </xf>
    <xf numFmtId="1" fontId="0" fillId="0" borderId="19" applyAlignment="1" pivotButton="0" quotePrefix="0" xfId="0">
      <alignment horizontal="center" vertical="center"/>
    </xf>
    <xf numFmtId="49" fontId="9" fillId="0" borderId="28" applyAlignment="1" pivotButton="0" quotePrefix="0" xfId="0">
      <alignment vertical="top"/>
    </xf>
    <xf numFmtId="49" fontId="9" fillId="0" borderId="29" applyAlignment="1" pivotButton="0" quotePrefix="0" xfId="0">
      <alignment vertical="top"/>
    </xf>
    <xf numFmtId="49" fontId="5" fillId="2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right" vertical="center" wrapText="1"/>
    </xf>
    <xf numFmtId="1" fontId="0" fillId="0" borderId="0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 wrapText="1"/>
    </xf>
    <xf numFmtId="49" fontId="7" fillId="0" borderId="3" applyAlignment="1" pivotButton="0" quotePrefix="0" xfId="0">
      <alignment vertical="top"/>
    </xf>
    <xf numFmtId="164" fontId="7" fillId="6" borderId="20" applyAlignment="1" pivotButton="0" quotePrefix="0" xfId="0">
      <alignment horizontal="center" vertical="center"/>
    </xf>
    <xf numFmtId="1" fontId="0" fillId="6" borderId="20" applyAlignment="1" pivotButton="0" quotePrefix="0" xfId="0">
      <alignment horizontal="center" vertical="center"/>
    </xf>
    <xf numFmtId="49" fontId="7" fillId="5" borderId="21" applyAlignment="1" pivotButton="0" quotePrefix="0" xfId="0">
      <alignment horizontal="center" vertical="center"/>
    </xf>
    <xf numFmtId="1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49" fontId="6" fillId="0" borderId="28" applyAlignment="1" pivotButton="0" quotePrefix="0" xfId="0">
      <alignment vertical="top"/>
    </xf>
    <xf numFmtId="49" fontId="5" fillId="2" borderId="23" applyAlignment="1" pivotButton="0" quotePrefix="0" xfId="0">
      <alignment horizontal="center" vertical="center" wrapText="1"/>
    </xf>
    <xf numFmtId="164" fontId="7" fillId="5" borderId="19" applyAlignment="1" pivotButton="0" quotePrefix="0" xfId="0">
      <alignment horizontal="center" vertical="center"/>
    </xf>
    <xf numFmtId="0" fontId="0" fillId="0" borderId="0" pivotButton="0" quotePrefix="0" xfId="0"/>
    <xf numFmtId="49" fontId="5" fillId="2" borderId="4" applyAlignment="1" pivotButton="0" quotePrefix="0" xfId="0">
      <alignment horizontal="center" vertical="center" wrapText="1"/>
    </xf>
    <xf numFmtId="49" fontId="10" fillId="0" borderId="1" applyAlignment="1" pivotButton="0" quotePrefix="0" xfId="0">
      <alignment vertical="top" wrapText="1"/>
    </xf>
    <xf numFmtId="49" fontId="10" fillId="0" borderId="6" applyAlignment="1" pivotButton="0" quotePrefix="0" xfId="0">
      <alignment vertical="top" wrapText="1"/>
    </xf>
    <xf numFmtId="0" fontId="11" fillId="0" borderId="16" applyAlignment="1" pivotButton="0" quotePrefix="0" xfId="0">
      <alignment vertical="top"/>
    </xf>
    <xf numFmtId="0" fontId="0" fillId="0" borderId="0" applyAlignment="1" pivotButton="0" quotePrefix="0" xfId="0">
      <alignment horizontal="center" wrapText="1"/>
    </xf>
    <xf numFmtId="164" fontId="7" fillId="5" borderId="19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32" applyAlignment="1" pivotButton="0" quotePrefix="0" xfId="0">
      <alignment horizontal="left" vertical="top"/>
    </xf>
    <xf numFmtId="49" fontId="14" fillId="4" borderId="26" applyAlignment="1" pivotButton="0" quotePrefix="0" xfId="0">
      <alignment horizontal="center" vertical="center"/>
    </xf>
    <xf numFmtId="49" fontId="14" fillId="4" borderId="8" applyAlignment="1" pivotButton="0" quotePrefix="0" xfId="0">
      <alignment horizontal="center" vertical="center"/>
    </xf>
    <xf numFmtId="49" fontId="14" fillId="4" borderId="27" applyAlignment="1" pivotButton="0" quotePrefix="0" xfId="0">
      <alignment horizontal="center" vertical="center"/>
    </xf>
    <xf numFmtId="49" fontId="14" fillId="4" borderId="35" applyAlignment="1" pivotButton="0" quotePrefix="0" xfId="0">
      <alignment horizontal="center" vertical="center"/>
    </xf>
    <xf numFmtId="49" fontId="14" fillId="4" borderId="9" applyAlignment="1" pivotButton="0" quotePrefix="0" xfId="0">
      <alignment horizontal="center" vertical="center"/>
    </xf>
    <xf numFmtId="49" fontId="14" fillId="4" borderId="36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32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31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0" fontId="11" fillId="0" borderId="33" applyAlignment="1" pivotButton="0" quotePrefix="0" xfId="0">
      <alignment horizontal="left" vertical="center" wrapText="1"/>
    </xf>
    <xf numFmtId="49" fontId="6" fillId="0" borderId="28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49" fontId="6" fillId="0" borderId="17" applyAlignment="1" pivotButton="0" quotePrefix="0" xfId="0">
      <alignment vertical="top"/>
    </xf>
    <xf numFmtId="49" fontId="7" fillId="0" borderId="3" applyAlignment="1" pivotButton="0" quotePrefix="0" xfId="0">
      <alignment horizontal="left" vertical="top"/>
    </xf>
    <xf numFmtId="49" fontId="10" fillId="0" borderId="1" applyAlignment="1" pivotButton="0" quotePrefix="0" xfId="0">
      <alignment horizontal="left" vertical="top"/>
    </xf>
    <xf numFmtId="49" fontId="10" fillId="0" borderId="28" applyAlignment="1" pivotButton="0" quotePrefix="0" xfId="0">
      <alignment horizontal="left" vertical="top" wrapText="1"/>
    </xf>
    <xf numFmtId="49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left" vertical="top" wrapText="1"/>
    </xf>
    <xf numFmtId="164" fontId="5" fillId="0" borderId="4" applyAlignment="1" pivotButton="0" quotePrefix="0" xfId="0">
      <alignment horizontal="center" vertical="center"/>
    </xf>
    <xf numFmtId="0" fontId="15" fillId="3" borderId="39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7" fillId="3" borderId="28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7" fillId="3" borderId="29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7" fillId="0" borderId="2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49" fontId="5" fillId="2" borderId="23" applyAlignment="1" pivotButton="0" quotePrefix="0" xfId="0">
      <alignment horizontal="center" vertical="center" wrapText="1"/>
    </xf>
    <xf numFmtId="1" fontId="5" fillId="2" borderId="23" applyAlignment="1" pivotButton="0" quotePrefix="0" xfId="0">
      <alignment horizontal="center" vertical="center" wrapText="1"/>
    </xf>
    <xf numFmtId="1" fontId="7" fillId="0" borderId="37" applyAlignment="1" pivotButton="0" quotePrefix="0" xfId="0">
      <alignment horizontal="right" vertical="center" wrapText="1"/>
    </xf>
    <xf numFmtId="1" fontId="7" fillId="0" borderId="38" applyAlignment="1" pivotButton="0" quotePrefix="0" xfId="0">
      <alignment horizontal="right" vertical="center" wrapText="1"/>
    </xf>
    <xf numFmtId="1" fontId="7" fillId="0" borderId="22" applyAlignment="1" pivotButton="0" quotePrefix="0" xfId="0">
      <alignment horizontal="right" vertical="center" wrapText="1"/>
    </xf>
    <xf numFmtId="0" fontId="5" fillId="2" borderId="23" applyAlignment="1" pivotButton="0" quotePrefix="0" xfId="0">
      <alignment horizontal="center" vertical="center"/>
    </xf>
    <xf numFmtId="0" fontId="12" fillId="3" borderId="24" applyAlignment="1" pivotButton="0" quotePrefix="0" xfId="0">
      <alignment horizontal="center"/>
    </xf>
    <xf numFmtId="0" fontId="12" fillId="3" borderId="6" applyAlignment="1" pivotButton="0" quotePrefix="0" xfId="0">
      <alignment horizontal="center"/>
    </xf>
    <xf numFmtId="0" fontId="12" fillId="3" borderId="23" applyAlignment="1" pivotButton="0" quotePrefix="0" xfId="0">
      <alignment horizontal="center"/>
    </xf>
    <xf numFmtId="0" fontId="12" fillId="3" borderId="25" applyAlignment="1" pivotButton="0" quotePrefix="0" xfId="0">
      <alignment horizontal="center"/>
    </xf>
    <xf numFmtId="49" fontId="2" fillId="0" borderId="0" applyAlignment="1" pivotButton="0" quotePrefix="0" xfId="0">
      <alignment horizontal="center" vertical="top"/>
    </xf>
    <xf numFmtId="49" fontId="7" fillId="0" borderId="0" applyAlignment="1" pivotButton="0" quotePrefix="0" xfId="0">
      <alignment horizontal="center" vertical="top"/>
    </xf>
    <xf numFmtId="49" fontId="7" fillId="0" borderId="29" applyAlignment="1" pivotButton="0" quotePrefix="0" xfId="0">
      <alignment horizontal="center" vertical="top"/>
    </xf>
    <xf numFmtId="49" fontId="12" fillId="0" borderId="28" applyAlignment="1" pivotButton="0" quotePrefix="0" xfId="0">
      <alignment vertical="top"/>
    </xf>
    <xf numFmtId="49" fontId="12" fillId="0" borderId="0" applyAlignment="1" pivotButton="0" quotePrefix="0" xfId="0">
      <alignment vertical="top"/>
    </xf>
    <xf numFmtId="49" fontId="0" fillId="0" borderId="28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8" pivotButton="0" quotePrefix="0" xfId="0"/>
    <xf numFmtId="49" fontId="5" fillId="0" borderId="0" applyAlignment="1" pivotButton="0" quotePrefix="0" xfId="0">
      <alignment horizontal="center" vertical="top"/>
    </xf>
    <xf numFmtId="0" fontId="11" fillId="0" borderId="10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11" fillId="0" borderId="33" applyAlignment="1" pivotButton="0" quotePrefix="0" xfId="0">
      <alignment horizontal="left" vertical="center"/>
    </xf>
    <xf numFmtId="49" fontId="5" fillId="2" borderId="12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 vertical="center" wrapText="1"/>
    </xf>
    <xf numFmtId="49" fontId="5" fillId="2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49" fontId="5" fillId="2" borderId="11" applyAlignment="1" pivotButton="0" quotePrefix="0" xfId="0">
      <alignment horizontal="center" vertical="center"/>
    </xf>
    <xf numFmtId="49" fontId="5" fillId="2" borderId="14" applyAlignment="1" pivotButton="0" quotePrefix="0" xfId="0">
      <alignment horizontal="center" vertical="center"/>
    </xf>
    <xf numFmtId="49" fontId="14" fillId="4" borderId="5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7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36" pivotButton="0" quotePrefix="0" xfId="0"/>
    <xf numFmtId="49" fontId="6" fillId="0" borderId="46" applyAlignment="1" pivotButton="0" quotePrefix="0" xfId="0">
      <alignment vertical="top"/>
    </xf>
    <xf numFmtId="0" fontId="11" fillId="0" borderId="51" applyAlignment="1" pivotButton="0" quotePrefix="0" xfId="0">
      <alignment horizontal="left" vertical="center" wrapText="1"/>
    </xf>
    <xf numFmtId="0" fontId="0" fillId="0" borderId="51" pivotButton="0" quotePrefix="0" xfId="0"/>
    <xf numFmtId="0" fontId="7" fillId="0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11" fillId="0" borderId="15" applyAlignment="1" pivotButton="0" quotePrefix="0" xfId="0">
      <alignment horizontal="left" vertical="center" wrapText="1"/>
    </xf>
    <xf numFmtId="0" fontId="0" fillId="0" borderId="5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left" vertical="top"/>
    </xf>
    <xf numFmtId="49" fontId="10" fillId="0" borderId="46" applyAlignment="1" pivotButton="0" quotePrefix="0" xfId="0">
      <alignment horizontal="left" wrapText="1"/>
    </xf>
    <xf numFmtId="0" fontId="11" fillId="0" borderId="15" applyAlignment="1" pivotButton="0" quotePrefix="0" xfId="0">
      <alignment horizontal="left" vertical="center"/>
    </xf>
    <xf numFmtId="164" fontId="5" fillId="0" borderId="7" applyAlignment="1" pivotButton="0" quotePrefix="0" xfId="0">
      <alignment vertical="center"/>
    </xf>
    <xf numFmtId="164" fontId="5" fillId="0" borderId="31" applyAlignment="1" pivotButton="0" quotePrefix="0" xfId="0">
      <alignment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24" pivotButton="0" quotePrefix="0" xfId="0"/>
    <xf numFmtId="0" fontId="0" fillId="0" borderId="3" pivotButton="0" quotePrefix="0" xfId="0"/>
    <xf numFmtId="49" fontId="0" fillId="0" borderId="53" applyAlignment="1" pivotButton="0" quotePrefix="0" xfId="0">
      <alignment vertical="center" wrapText="1"/>
    </xf>
    <xf numFmtId="164" fontId="5" fillId="0" borderId="5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3" applyAlignment="1" pivotButton="0" quotePrefix="0" xfId="0">
      <alignment horizontal="center" vertical="center"/>
    </xf>
    <xf numFmtId="49" fontId="0" fillId="0" borderId="53" applyAlignment="1" pivotButton="0" quotePrefix="0" xfId="0">
      <alignment horizontal="center" vertical="center"/>
    </xf>
    <xf numFmtId="164" fontId="0" fillId="0" borderId="53" applyAlignment="1" pivotButton="0" quotePrefix="0" xfId="0">
      <alignment horizontal="center" vertical="center"/>
    </xf>
    <xf numFmtId="165" fontId="0" fillId="0" borderId="53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5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49" fontId="0" fillId="8" borderId="53" applyAlignment="1" pivotButton="0" quotePrefix="0" xfId="0">
      <alignment horizontal="center" vertical="center"/>
    </xf>
    <xf numFmtId="164" fontId="5" fillId="8" borderId="53" applyAlignment="1" pivotButton="0" quotePrefix="0" xfId="0">
      <alignment horizontal="center" vertical="center"/>
    </xf>
    <xf numFmtId="0" fontId="0" fillId="8" borderId="53" applyAlignment="1" pivotButton="0" quotePrefix="0" xfId="0">
      <alignment horizontal="center" vertical="center"/>
    </xf>
    <xf numFmtId="164" fontId="0" fillId="8" borderId="53" applyAlignment="1" pivotButton="0" quotePrefix="0" xfId="0">
      <alignment horizontal="center" vertical="center"/>
    </xf>
    <xf numFmtId="1" fontId="7" fillId="8" borderId="53" applyAlignment="1" pivotButton="0" quotePrefix="0" xfId="0">
      <alignment horizontal="center" vertical="center"/>
    </xf>
    <xf numFmtId="164" fontId="7" fillId="8" borderId="53" applyAlignment="1" pivotButton="0" quotePrefix="0" xfId="0">
      <alignment horizontal="center" vertical="center"/>
    </xf>
    <xf numFmtId="164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164" fontId="7" fillId="6" borderId="20" applyAlignment="1" pivotButton="0" quotePrefix="0" xfId="0">
      <alignment horizontal="center" vertical="center"/>
    </xf>
    <xf numFmtId="164" fontId="1" fillId="0" borderId="0" applyAlignment="1" pivotButton="0" quotePrefix="0" xfId="0">
      <alignment vertical="top"/>
    </xf>
    <xf numFmtId="49" fontId="8" fillId="0" borderId="53" applyAlignment="1" pivotButton="0" quotePrefix="0" xfId="0">
      <alignment horizontal="center" vertical="center"/>
    </xf>
    <xf numFmtId="164" fontId="8" fillId="0" borderId="53" applyAlignment="1" pivotButton="0" quotePrefix="0" xfId="0">
      <alignment horizontal="center" vertical="center"/>
    </xf>
    <xf numFmtId="1" fontId="8" fillId="0" borderId="5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49" fontId="8" fillId="9" borderId="53" applyAlignment="1" pivotButton="0" quotePrefix="0" xfId="0">
      <alignment horizontal="center" vertical="center"/>
    </xf>
    <xf numFmtId="0" fontId="15" fillId="3" borderId="53" applyAlignment="1" pivotButton="0" quotePrefix="0" xfId="0">
      <alignment horizontal="center" vertical="center"/>
    </xf>
    <xf numFmtId="0" fontId="0" fillId="0" borderId="48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29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0" fillId="0" borderId="46" pivotButton="0" quotePrefix="0" xfId="0"/>
    <xf numFmtId="166" fontId="5" fillId="2" borderId="15" applyAlignment="1" pivotButton="0" quotePrefix="0" xfId="0">
      <alignment horizontal="center" vertical="center"/>
    </xf>
    <xf numFmtId="1" fontId="7" fillId="0" borderId="19" applyAlignment="1" pivotButton="0" quotePrefix="0" xfId="0">
      <alignment horizontal="right" vertical="center" wrapText="1"/>
    </xf>
    <xf numFmtId="0" fontId="0" fillId="0" borderId="38" pivotButton="0" quotePrefix="0" xfId="0"/>
    <xf numFmtId="0" fontId="0" fillId="0" borderId="22" pivotButton="0" quotePrefix="0" xfId="0"/>
    <xf numFmtId="0" fontId="7" fillId="3" borderId="49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tabSelected="1" zoomScaleNormal="100" zoomScaleSheetLayoutView="100" workbookViewId="0">
      <selection activeCell="N29" sqref="N29"/>
    </sheetView>
  </sheetViews>
  <sheetFormatPr baseColWidth="8" defaultRowHeight="15"/>
  <cols>
    <col width="24.7109375" customWidth="1" style="202" min="1" max="1"/>
    <col width="5.42578125" customWidth="1" style="202" min="2" max="2"/>
    <col width="5.7109375" customWidth="1" style="202" min="3" max="3"/>
    <col width="7.42578125" bestFit="1" customWidth="1" style="202" min="4" max="4"/>
    <col width="6.5703125" customWidth="1" style="202" min="5" max="5"/>
    <col width="7.140625" customWidth="1" style="202" min="6" max="6"/>
    <col width="7" bestFit="1" customWidth="1" style="202" min="7" max="7"/>
    <col width="8.140625" customWidth="1" style="202" min="8" max="8"/>
    <col width="8.42578125" customWidth="1" style="202" min="9" max="9"/>
    <col width="7.5703125" customWidth="1" style="202" min="10" max="10"/>
    <col width="8" customWidth="1" style="202" min="11" max="11"/>
    <col width="7.28515625" customWidth="1" style="202" min="12" max="12"/>
    <col width="8" customWidth="1" style="202" min="13" max="13"/>
    <col width="10.5703125" bestFit="1" customWidth="1" style="202" min="14" max="14"/>
    <col width="16.28515625" bestFit="1" customWidth="1" style="202" min="15" max="15"/>
    <col width="5" bestFit="1" customWidth="1" style="202" min="16" max="17"/>
    <col width="6.85546875" customWidth="1" style="202" min="18" max="18"/>
  </cols>
  <sheetData>
    <row r="1" ht="18.75" customHeight="1" s="202">
      <c r="A1" s="72" t="n"/>
      <c r="B1" s="72" t="n"/>
      <c r="C1" s="72" t="n"/>
      <c r="D1" s="72" t="n"/>
      <c r="I1" s="128" t="inlineStr">
        <is>
          <t>LIRCO ENGINEERING PVT. LTD.</t>
        </is>
      </c>
      <c r="J1" s="97" t="n"/>
      <c r="K1" s="97" t="n"/>
    </row>
    <row r="2" ht="15.75" customHeight="1" s="202">
      <c r="A2" s="72" t="n"/>
      <c r="B2" s="72" t="n"/>
      <c r="C2" s="72" t="n"/>
      <c r="D2" s="72" t="n"/>
      <c r="I2" s="126" t="inlineStr">
        <is>
          <t xml:space="preserve">Dehgam - Modasa Road, </t>
        </is>
      </c>
      <c r="J2" s="72" t="n"/>
      <c r="K2" s="73" t="n"/>
    </row>
    <row r="3" ht="15.75" customHeight="1" s="202">
      <c r="A3" s="72" t="n"/>
      <c r="B3" s="72" t="n"/>
      <c r="C3" s="72" t="n"/>
      <c r="D3" s="72" t="n"/>
      <c r="I3" s="126" t="inlineStr">
        <is>
          <t>Ta - Dehgam, Gandhinagar,</t>
        </is>
      </c>
      <c r="J3" s="72" t="n"/>
      <c r="K3" s="73" t="n"/>
    </row>
    <row r="4" ht="15.75" customHeight="1" s="202">
      <c r="A4" s="72" t="n"/>
      <c r="B4" s="72" t="n"/>
      <c r="C4" s="72" t="n"/>
      <c r="D4" s="72" t="n"/>
      <c r="I4" s="126" t="inlineStr">
        <is>
          <t>Gujarat - 382315</t>
        </is>
      </c>
      <c r="J4" s="72" t="n"/>
      <c r="K4" s="73" t="n"/>
    </row>
    <row r="5" ht="15.75" customHeight="1" s="202">
      <c r="A5" s="72" t="n"/>
      <c r="B5" s="72" t="n"/>
      <c r="C5" s="72" t="n"/>
      <c r="D5" s="72" t="n"/>
      <c r="I5" s="126" t="inlineStr">
        <is>
          <t>Email - sales@lircoengg.in</t>
        </is>
      </c>
      <c r="J5" s="72" t="n"/>
      <c r="K5" s="73" t="n"/>
    </row>
    <row r="6" ht="15.75" customHeight="1" s="202">
      <c r="A6" s="72" t="n"/>
      <c r="B6" s="72" t="n"/>
      <c r="C6" s="72" t="n"/>
      <c r="D6" s="72" t="n"/>
      <c r="I6" s="127" t="inlineStr">
        <is>
          <t>CIN : U28100GJ1998PTC034524</t>
        </is>
      </c>
      <c r="J6" s="72" t="n"/>
      <c r="K6" s="73" t="n"/>
    </row>
    <row r="7" ht="15.75" customHeight="1" s="202" thickBot="1">
      <c r="A7" s="72" t="n"/>
      <c r="B7" s="72" t="n"/>
      <c r="C7" s="72" t="n"/>
      <c r="D7" s="72" t="n"/>
      <c r="J7" s="72" t="n"/>
      <c r="K7" s="72" t="n"/>
    </row>
    <row r="8" ht="16.5" customHeight="1" s="202">
      <c r="A8" s="215" t="inlineStr">
        <is>
          <t>PACKING LIST</t>
        </is>
      </c>
      <c r="B8" s="216" t="n"/>
      <c r="C8" s="216" t="n"/>
      <c r="D8" s="216" t="n"/>
      <c r="E8" s="216" t="n"/>
      <c r="F8" s="216" t="n"/>
      <c r="G8" s="216" t="n"/>
      <c r="H8" s="216" t="n"/>
      <c r="I8" s="216" t="n"/>
      <c r="J8" s="216" t="n"/>
      <c r="K8" s="216" t="n"/>
      <c r="L8" s="216" t="n"/>
      <c r="M8" s="217" t="n"/>
      <c r="N8" s="50" t="n"/>
    </row>
    <row r="9" ht="19.5" customHeight="1" s="202" thickBot="1">
      <c r="A9" s="218" t="n"/>
      <c r="B9" s="219" t="n"/>
      <c r="C9" s="219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20" t="n"/>
      <c r="N9" s="50" t="n"/>
    </row>
    <row r="10" ht="15.75" customHeight="1" s="202">
      <c r="A10" s="98" t="inlineStr">
        <is>
          <t>Seller :</t>
        </is>
      </c>
      <c r="B10" s="99" t="n"/>
      <c r="C10" s="100" t="n"/>
      <c r="D10" s="100" t="n"/>
      <c r="E10" s="101" t="n"/>
      <c r="F10" s="102" t="inlineStr">
        <is>
          <t>Packing List  No. -</t>
        </is>
      </c>
      <c r="G10" s="103" t="n"/>
      <c r="H10" s="103" t="n"/>
      <c r="I10" s="104" t="n"/>
      <c r="J10" s="102" t="inlineStr">
        <is>
          <t>Dated -</t>
        </is>
      </c>
      <c r="K10" s="46" t="n"/>
      <c r="L10" s="46" t="n"/>
      <c r="M10" s="105" t="n"/>
      <c r="N10" s="50" t="n"/>
    </row>
    <row r="11" ht="17.25" customHeight="1" s="202">
      <c r="A11" s="221" t="inlineStr">
        <is>
          <t>333</t>
        </is>
      </c>
      <c r="E11" s="11" t="n"/>
      <c r="F11" s="133" t="inlineStr">
        <is>
          <t>PL/21/25-26</t>
        </is>
      </c>
      <c r="G11" s="14" t="n"/>
      <c r="H11" s="14" t="n"/>
      <c r="I11" s="10" t="inlineStr">
        <is>
          <t>13-Jan-2026</t>
        </is>
      </c>
      <c r="J11" s="169" t="inlineStr">
        <is>
          <t>21.05.2025</t>
        </is>
      </c>
      <c r="K11" s="55" t="n"/>
      <c r="L11" s="55" t="n"/>
      <c r="M11" s="79" t="n"/>
      <c r="N11" s="50" t="n"/>
    </row>
    <row r="12" ht="15.75" customHeight="1" s="202">
      <c r="A12" s="80" t="inlineStr">
        <is>
          <t>Dehgam-Modasa Road, Ta. Dehgam,</t>
        </is>
      </c>
      <c r="B12" s="15" t="n"/>
      <c r="C12" s="15" t="n"/>
      <c r="D12" s="15" t="n"/>
      <c r="E12" s="16" t="n"/>
      <c r="F12" s="21" t="n"/>
      <c r="G12" s="22" t="n"/>
      <c r="H12" s="22" t="n"/>
      <c r="I12" s="23" t="n"/>
      <c r="J12" s="222" t="inlineStr">
        <is>
          <t>Buyer P.O. No. -</t>
        </is>
      </c>
      <c r="K12" s="56" t="n"/>
      <c r="L12" s="56" t="n"/>
      <c r="M12" s="223" t="n"/>
      <c r="N12" s="50" t="n"/>
    </row>
    <row r="13" ht="15.75" customHeight="1" s="202">
      <c r="A13" s="80" t="inlineStr">
        <is>
          <t>Dist. Gandhinagar, Gujarat -382315</t>
        </is>
      </c>
      <c r="B13" s="15" t="n"/>
      <c r="C13" s="15" t="n"/>
      <c r="D13" s="15" t="n"/>
      <c r="E13" s="16" t="n"/>
      <c r="F13" s="75" t="inlineStr">
        <is>
          <t>Insurance Policy No:</t>
        </is>
      </c>
      <c r="G13" s="22" t="n"/>
      <c r="H13" s="22" t="n"/>
      <c r="I13" s="23" t="inlineStr">
        <is>
          <t>0099</t>
        </is>
      </c>
      <c r="J13" s="224" t="inlineStr">
        <is>
          <t>PO-2504012</t>
        </is>
      </c>
      <c r="K13" s="55" t="n"/>
      <c r="L13" s="55" t="n"/>
      <c r="M13" s="225" t="n"/>
      <c r="N13" s="50" t="n"/>
    </row>
    <row r="14" ht="15" customHeight="1" s="202">
      <c r="A14" s="81" t="inlineStr">
        <is>
          <t>GSTIN/UIN: 24AAACB8431B1ZA</t>
        </is>
      </c>
      <c r="B14" s="19" t="n"/>
      <c r="C14" s="15" t="n"/>
      <c r="D14" s="15" t="n"/>
      <c r="E14" s="16" t="n"/>
      <c r="F14" s="76" t="inlineStr">
        <is>
          <t xml:space="preserve">Vehicle No : </t>
        </is>
      </c>
      <c r="G14" s="24" t="n"/>
      <c r="H14" s="24" t="n"/>
      <c r="I14" s="25" t="n"/>
      <c r="M14" s="82" t="n"/>
      <c r="N14" s="50" t="n"/>
    </row>
    <row r="15" ht="15.75" customHeight="1" s="202">
      <c r="A15" s="78" t="inlineStr">
        <is>
          <t>Buyer :</t>
        </is>
      </c>
      <c r="B15" s="17" t="n"/>
      <c r="C15" s="17" t="n"/>
      <c r="D15" s="17" t="n"/>
      <c r="E15" s="18" t="n"/>
      <c r="F15" s="146" t="inlineStr">
        <is>
          <t>LR No.</t>
        </is>
      </c>
      <c r="G15" s="12" t="n"/>
      <c r="H15" s="12" t="n"/>
      <c r="I15" s="13" t="inlineStr">
        <is>
          <t>332</t>
        </is>
      </c>
      <c r="J15" s="226" t="inlineStr">
        <is>
          <t>Our P.I. No. - 010/25-26</t>
        </is>
      </c>
      <c r="K15" s="227" t="n"/>
      <c r="L15" s="227" t="n"/>
      <c r="M15" s="228" t="n"/>
      <c r="N15" s="50" t="n"/>
      <c r="O15" s="5" t="n"/>
    </row>
    <row r="16" ht="17.25" customHeight="1" s="202">
      <c r="A16" s="166" t="inlineStr">
        <is>
          <t>TECH</t>
        </is>
      </c>
      <c r="B16" s="19" t="n"/>
      <c r="C16" s="19" t="n"/>
      <c r="D16" s="19" t="n"/>
      <c r="E16" s="20" t="n"/>
      <c r="F16" s="77" t="inlineStr">
        <is>
          <t>Way Bill No.</t>
        </is>
      </c>
      <c r="G16" s="56" t="n"/>
      <c r="H16" s="56" t="n"/>
      <c r="I16" s="57" t="n"/>
      <c r="J16" s="229" t="n"/>
      <c r="K16" s="55" t="n"/>
      <c r="L16" s="55" t="n"/>
      <c r="M16" s="225" t="n"/>
      <c r="N16" s="50" t="n"/>
    </row>
    <row r="17" ht="15.75" customHeight="1" s="202">
      <c r="A17" s="230" t="inlineStr">
        <is>
          <t xml:space="preserve">Gandhinagar </t>
        </is>
      </c>
      <c r="E17" s="11" t="n"/>
      <c r="F17" s="77" t="inlineStr">
        <is>
          <t>Project :</t>
        </is>
      </c>
      <c r="G17" s="56" t="n"/>
      <c r="H17" s="56" t="n"/>
      <c r="I17" s="57" t="n"/>
      <c r="J17" s="231" t="inlineStr">
        <is>
          <t>Total Order Quantity - 608 Nos.</t>
        </is>
      </c>
      <c r="K17" s="227" t="n"/>
      <c r="L17" s="227" t="n"/>
      <c r="M17" s="228" t="n"/>
      <c r="N17" s="50" t="n"/>
    </row>
    <row r="18" ht="15.75" customHeight="1" s="202">
      <c r="A18" s="203" t="n"/>
      <c r="E18" s="11" t="n"/>
      <c r="F18" s="99" t="n"/>
      <c r="I18" s="11" t="n"/>
      <c r="J18" s="53" t="n"/>
      <c r="K18" s="53" t="n"/>
      <c r="L18" s="232" t="n"/>
      <c r="M18" s="233" t="n"/>
      <c r="N18" s="50" t="n"/>
    </row>
    <row r="19" ht="15.75" customHeight="1" s="202">
      <c r="A19" s="84" t="inlineStr">
        <is>
          <t>GSTIN/UIN: 27AAXCA8226G1Z7</t>
        </is>
      </c>
      <c r="B19" s="144" t="n"/>
      <c r="C19" s="144" t="n"/>
      <c r="D19" s="144" t="n"/>
      <c r="E19" s="145" t="n"/>
      <c r="F19" s="55" t="n"/>
      <c r="G19" s="55" t="n"/>
      <c r="H19" s="55" t="n"/>
      <c r="I19" s="58" t="n"/>
      <c r="J19" s="212" t="n"/>
      <c r="K19" s="55" t="n"/>
      <c r="L19" s="55" t="n"/>
      <c r="M19" s="225" t="n"/>
      <c r="N19" s="50" t="n"/>
    </row>
    <row r="20">
      <c r="A20" s="203" t="n"/>
      <c r="B20" s="6" t="n"/>
      <c r="C20" s="6" t="n"/>
      <c r="D20" s="6" t="n"/>
      <c r="E20" s="6" t="n"/>
      <c r="F20" s="50" t="n"/>
      <c r="J20" s="9" t="n"/>
      <c r="K20" s="9" t="n"/>
      <c r="L20" s="9" t="n"/>
      <c r="M20" s="86" t="n"/>
      <c r="N20" s="50" t="n"/>
    </row>
    <row r="21" ht="15.75" customHeight="1" s="202" thickBot="1">
      <c r="A21" s="85" t="n"/>
      <c r="B21" s="6" t="n"/>
      <c r="C21" s="6" t="n"/>
      <c r="D21" s="6" t="n"/>
      <c r="E21" s="6" t="n"/>
      <c r="F21" s="50" t="n"/>
      <c r="G21" s="50" t="n"/>
      <c r="H21" s="50" t="n"/>
      <c r="I21" s="50" t="n"/>
      <c r="J21" s="50" t="n"/>
      <c r="K21" s="50" t="n"/>
      <c r="L21" s="50" t="n"/>
      <c r="M21" s="91" t="n"/>
      <c r="N21" s="50" t="n"/>
    </row>
    <row r="22">
      <c r="A22" s="213" t="inlineStr">
        <is>
          <t>Collecting Electrodes</t>
        </is>
      </c>
      <c r="B22" s="208" t="n">
        <v>34</v>
      </c>
      <c r="C22" s="234" t="n"/>
      <c r="D22" s="208" t="inlineStr">
        <is>
          <t>PER CRATE DIMENSIONS</t>
        </is>
      </c>
      <c r="E22" s="235" t="n"/>
      <c r="F22" s="236" t="n"/>
      <c r="G22" s="208" t="inlineStr">
        <is>
          <t>PER CRATE DETAILS</t>
        </is>
      </c>
      <c r="H22" s="235" t="n"/>
      <c r="I22" s="236" t="n"/>
      <c r="J22" s="208" t="inlineStr">
        <is>
          <t>TOTAL</t>
        </is>
      </c>
      <c r="K22" s="235" t="n"/>
      <c r="L22" s="235" t="n"/>
      <c r="M22" s="236" t="n"/>
    </row>
    <row r="23" ht="47.25" customHeight="1" s="202">
      <c r="A23" s="237" t="n"/>
      <c r="B23" s="238" t="n"/>
      <c r="C23" s="58" t="n"/>
      <c r="D23" s="209" t="inlineStr">
        <is>
          <t>Length (mm)</t>
        </is>
      </c>
      <c r="E23" s="209" t="inlineStr">
        <is>
          <t>Width (mm)</t>
        </is>
      </c>
      <c r="F23" s="209" t="inlineStr">
        <is>
          <t>Height (mm)</t>
        </is>
      </c>
      <c r="G23" s="209" t="inlineStr">
        <is>
          <t>No. of Pcs</t>
        </is>
      </c>
      <c r="H23" s="209" t="inlineStr">
        <is>
          <t>Net Weight (kg.)</t>
        </is>
      </c>
      <c r="I23" s="209" t="inlineStr">
        <is>
          <t>Gross  Weight (Kg.)</t>
        </is>
      </c>
      <c r="J23" s="209" t="inlineStr">
        <is>
          <t>Total Pcs</t>
        </is>
      </c>
      <c r="K23" s="209" t="inlineStr">
        <is>
          <t>Gross Volume (m3)</t>
        </is>
      </c>
      <c r="L23" s="209" t="inlineStr">
        <is>
          <t>Net Weight (kg.)</t>
        </is>
      </c>
      <c r="M23" s="125" t="inlineStr">
        <is>
          <t>Gross  Weight (kg.)</t>
        </is>
      </c>
    </row>
    <row r="24">
      <c r="A24" s="239" t="inlineStr">
        <is>
          <t>Collecting Electrodes</t>
        </is>
      </c>
      <c r="B24" s="240" t="n">
        <v>1</v>
      </c>
      <c r="C24" s="241" t="n"/>
      <c r="D24" s="242" t="n">
        <v>134</v>
      </c>
      <c r="E24" s="243" t="n">
        <v>668</v>
      </c>
      <c r="F24" s="244" t="n">
        <v>605</v>
      </c>
      <c r="G24" s="244" t="n">
        <v>34</v>
      </c>
      <c r="H24" s="244" t="n">
        <v>-1156</v>
      </c>
      <c r="I24" s="244" t="n">
        <v>-1147</v>
      </c>
      <c r="J24" s="244" t="n">
        <v>34</v>
      </c>
      <c r="K24" s="245" t="n">
        <v>0.01</v>
      </c>
      <c r="L24" s="244" t="n">
        <v>-1156</v>
      </c>
      <c r="M24" s="244" t="n">
        <v>-1147</v>
      </c>
      <c r="N24" s="246">
        <f>M24-L24</f>
        <v/>
      </c>
      <c r="O24" s="247" t="n"/>
    </row>
    <row r="25">
      <c r="A25" s="87" t="n"/>
      <c r="B25" s="248" t="n"/>
      <c r="C25" s="13" t="n"/>
      <c r="D25" s="30" t="n"/>
      <c r="E25" s="120" t="n"/>
      <c r="F25" s="249" t="n"/>
      <c r="G25" s="249" t="n"/>
      <c r="H25" s="249" t="n"/>
      <c r="I25" s="249" t="n"/>
      <c r="J25" s="249" t="n"/>
      <c r="K25" s="250" t="n"/>
      <c r="L25" s="249" t="n"/>
      <c r="M25" s="251" t="n"/>
      <c r="N25" s="246">
        <f>M25-L25</f>
        <v/>
      </c>
      <c r="O25" s="247" t="n"/>
    </row>
    <row r="26">
      <c r="A26" s="87" t="n"/>
      <c r="B26" s="248" t="n"/>
      <c r="C26" s="13" t="n"/>
      <c r="D26" s="30" t="n"/>
      <c r="E26" s="120" t="n"/>
      <c r="F26" s="249" t="n"/>
      <c r="G26" s="249" t="n"/>
      <c r="H26" s="249" t="n"/>
      <c r="I26" s="249" t="n"/>
      <c r="J26" s="249" t="n"/>
      <c r="K26" s="250" t="n"/>
      <c r="L26" s="249" t="n"/>
      <c r="M26" s="251" t="n"/>
      <c r="N26" s="246">
        <f>M26-L26</f>
        <v/>
      </c>
      <c r="R26" s="147" t="n"/>
    </row>
    <row r="27">
      <c r="A27" s="87" t="n"/>
      <c r="B27" s="248" t="n"/>
      <c r="C27" s="13" t="n"/>
      <c r="D27" s="30" t="n"/>
      <c r="E27" s="120" t="n"/>
      <c r="F27" s="249" t="n"/>
      <c r="G27" s="249" t="n"/>
      <c r="H27" s="249" t="n"/>
      <c r="I27" s="249" t="n"/>
      <c r="J27" s="249" t="n"/>
      <c r="K27" s="250" t="n"/>
      <c r="L27" s="249" t="n"/>
      <c r="M27" s="251" t="n"/>
      <c r="N27" s="246">
        <f>M27-L27</f>
        <v/>
      </c>
    </row>
    <row r="28" ht="15.75" customHeight="1" s="202">
      <c r="A28" s="252" t="inlineStr">
        <is>
          <t>LOADING DETAILS PER TRAILER BASIS</t>
        </is>
      </c>
      <c r="B28" s="253" t="inlineStr">
        <is>
          <t>BED WIDTH</t>
        </is>
      </c>
      <c r="C28" s="254" t="n"/>
      <c r="D28" s="254" t="n"/>
      <c r="E28" s="252" t="inlineStr">
        <is>
          <t>HEIGHT</t>
        </is>
      </c>
      <c r="F28" s="254" t="n"/>
      <c r="G28" s="255" t="inlineStr">
        <is>
          <t>LENGTH</t>
        </is>
      </c>
      <c r="H28" s="254" t="n"/>
      <c r="I28" s="255" t="inlineStr">
        <is>
          <t>WEIGHT</t>
        </is>
      </c>
      <c r="J28" s="249" t="n"/>
      <c r="K28" s="250" t="n"/>
      <c r="L28" s="249" t="n"/>
      <c r="M28" s="251" t="n"/>
      <c r="N28" s="246">
        <f>M28-L28</f>
        <v/>
      </c>
    </row>
    <row r="29" ht="16.5" customHeight="1" s="202" thickBot="1">
      <c r="A29" s="254" t="n"/>
      <c r="B29" s="254" t="n"/>
      <c r="C29" s="254" t="n"/>
      <c r="D29" s="256" t="inlineStr">
        <is>
          <t>feet</t>
        </is>
      </c>
      <c r="E29" s="256" t="inlineStr">
        <is>
          <t>mm</t>
        </is>
      </c>
      <c r="F29" s="256" t="inlineStr">
        <is>
          <t>feet</t>
        </is>
      </c>
      <c r="G29" s="257" t="inlineStr">
        <is>
          <t>mm</t>
        </is>
      </c>
      <c r="H29" s="257" t="inlineStr">
        <is>
          <t>feet</t>
        </is>
      </c>
      <c r="I29" s="257" t="inlineStr">
        <is>
          <t>kg</t>
        </is>
      </c>
      <c r="J29" s="258">
        <f>SUM(J24:J28)</f>
        <v/>
      </c>
      <c r="K29" s="259">
        <f>SUM(K24:K28)</f>
        <v/>
      </c>
      <c r="L29" s="258">
        <f>SUM(L24:L28)</f>
        <v/>
      </c>
      <c r="M29" s="260">
        <f>SUM(M24:M28)</f>
        <v/>
      </c>
      <c r="N29" s="261">
        <f>SUM(N24:N28)</f>
        <v/>
      </c>
    </row>
    <row r="30">
      <c r="A30" s="262" t="inlineStr">
        <is>
          <t>Loading Type 1</t>
        </is>
      </c>
      <c r="B30" s="263" t="n">
        <v>1</v>
      </c>
      <c r="C30" s="263" t="n">
        <v>668</v>
      </c>
      <c r="D30" s="264" t="n">
        <v>2.19</v>
      </c>
      <c r="E30" s="264" t="n">
        <v>605</v>
      </c>
      <c r="F30" s="264" t="n">
        <v>1.98</v>
      </c>
      <c r="G30" s="263" t="n">
        <v>134</v>
      </c>
      <c r="H30" s="263" t="n">
        <v>0.44</v>
      </c>
      <c r="I30" s="263" t="n">
        <v>-1146.8</v>
      </c>
      <c r="J30" s="265" t="n"/>
      <c r="K30" s="266" t="n"/>
      <c r="L30" s="265" t="n"/>
      <c r="M30" s="267" t="n"/>
      <c r="N30" s="261" t="n"/>
    </row>
    <row r="31">
      <c r="A31" s="110" t="n"/>
      <c r="B31" s="265" t="n"/>
      <c r="C31" s="265" t="n"/>
      <c r="D31" s="107" t="n"/>
      <c r="E31" s="107" t="n"/>
      <c r="F31" s="107" t="n"/>
      <c r="G31" s="265" t="n"/>
      <c r="H31" s="265" t="n"/>
      <c r="I31" s="265" t="n"/>
      <c r="J31" s="265" t="n"/>
      <c r="K31" s="266" t="n"/>
      <c r="L31" s="265" t="n"/>
      <c r="M31" s="267" t="n"/>
      <c r="N31" s="261" t="n"/>
    </row>
    <row r="32" ht="15.75" customHeight="1" s="202" thickBot="1">
      <c r="A32" s="268" t="inlineStr">
        <is>
          <t>TRAILER WISE LOADING ARRANGEMENTS OF CRATES</t>
        </is>
      </c>
      <c r="B32" s="241" t="n"/>
      <c r="C32" s="241" t="n"/>
      <c r="D32" s="241" t="n"/>
      <c r="E32" s="241" t="n"/>
      <c r="F32" s="241" t="n"/>
      <c r="G32" s="241" t="n"/>
      <c r="H32" s="241" t="n"/>
      <c r="I32" s="241" t="n"/>
      <c r="J32" s="265" t="n"/>
      <c r="K32" s="266" t="n"/>
      <c r="L32" s="265" t="n"/>
      <c r="M32" s="267" t="n"/>
      <c r="N32" s="261" t="n"/>
    </row>
    <row r="33" ht="16.5" customHeight="1" s="202" thickBot="1">
      <c r="A33" s="269" t="inlineStr">
        <is>
          <t>Crate Type 1 1 nos</t>
        </is>
      </c>
      <c r="B33" s="241" t="n"/>
      <c r="C33" s="241" t="n"/>
      <c r="D33" s="241" t="n"/>
      <c r="E33" s="241" t="n"/>
      <c r="F33" s="241" t="n"/>
      <c r="G33" s="241" t="n"/>
      <c r="H33" s="241" t="n"/>
      <c r="I33" s="241" t="n"/>
      <c r="J33" s="270" t="n"/>
      <c r="K33" s="271" t="n"/>
      <c r="L33" s="271" t="n"/>
      <c r="M33" s="272" t="n"/>
      <c r="N33" s="50" t="n"/>
      <c r="O33" s="59" t="n"/>
      <c r="Q33" s="60" t="n"/>
    </row>
    <row r="34" ht="36" customHeight="1" s="202">
      <c r="A34" s="182" t="inlineStr">
        <is>
          <t>Option A</t>
        </is>
      </c>
      <c r="B34" s="185" t="inlineStr">
        <is>
          <t>Loaded Width</t>
        </is>
      </c>
      <c r="C34" s="58" t="n"/>
      <c r="D34" s="186" t="inlineStr">
        <is>
          <t xml:space="preserve">Loaded Height </t>
        </is>
      </c>
      <c r="E34" s="58" t="n"/>
      <c r="F34" s="190" t="inlineStr">
        <is>
          <t>Loaded Length</t>
        </is>
      </c>
      <c r="G34" s="58" t="n"/>
      <c r="H34" s="185" t="inlineStr">
        <is>
          <t>Total Crates</t>
        </is>
      </c>
      <c r="I34" s="185" t="inlineStr">
        <is>
          <t xml:space="preserve">Vehicles Reqd. </t>
        </is>
      </c>
      <c r="J34" s="273" t="inlineStr">
        <is>
          <t>Weight</t>
        </is>
      </c>
      <c r="K34" s="271" t="n"/>
      <c r="L34" s="271" t="n"/>
      <c r="M34" s="272" t="n"/>
      <c r="N34" s="50" t="n"/>
      <c r="P34" s="181" t="n"/>
    </row>
    <row r="35">
      <c r="A35" s="274" t="n"/>
      <c r="B35" s="209" t="inlineStr">
        <is>
          <t>mm</t>
        </is>
      </c>
      <c r="C35" s="209" t="inlineStr">
        <is>
          <t>Ft</t>
        </is>
      </c>
      <c r="D35" s="209" t="inlineStr">
        <is>
          <t>mm</t>
        </is>
      </c>
      <c r="E35" s="209" t="inlineStr">
        <is>
          <t>Ft</t>
        </is>
      </c>
      <c r="F35" s="209" t="inlineStr">
        <is>
          <t>mm</t>
        </is>
      </c>
      <c r="G35" s="209" t="inlineStr">
        <is>
          <t>Ft</t>
        </is>
      </c>
      <c r="H35" s="209" t="inlineStr">
        <is>
          <t>Pcs</t>
        </is>
      </c>
      <c r="I35" s="115" t="inlineStr">
        <is>
          <t>Nos.</t>
        </is>
      </c>
      <c r="J35" s="275" t="inlineStr">
        <is>
          <t>Kg.</t>
        </is>
      </c>
      <c r="K35" s="271" t="n"/>
      <c r="L35" s="271" t="n"/>
      <c r="M35" s="272" t="n"/>
      <c r="N35" s="50" t="n"/>
      <c r="P35" s="181" t="n"/>
      <c r="Q35" s="181" t="n"/>
      <c r="R35" s="181" t="n"/>
    </row>
    <row r="36">
      <c r="A36" s="274" t="n"/>
      <c r="B36" s="117" t="n">
        <v>2500</v>
      </c>
      <c r="C36" s="119">
        <f>B36/25.4/12</f>
        <v/>
      </c>
      <c r="D36" s="118">
        <f>F29</f>
        <v/>
      </c>
      <c r="E36" s="119">
        <f>D36/25.4/12</f>
        <v/>
      </c>
      <c r="F36" s="117">
        <f>D29</f>
        <v/>
      </c>
      <c r="G36" s="119">
        <f>F36/25.4/12</f>
        <v/>
      </c>
      <c r="H36" s="118">
        <f>B29</f>
        <v/>
      </c>
      <c r="I36" s="120" t="inlineStr">
        <is>
          <t>2</t>
        </is>
      </c>
      <c r="J36" s="121">
        <f>M29</f>
        <v/>
      </c>
      <c r="K36" s="271" t="n"/>
      <c r="L36" s="271" t="n"/>
      <c r="M36" s="272" t="n"/>
      <c r="N36" s="50" t="n"/>
      <c r="O36" t="inlineStr">
        <is>
          <t>1st Row</t>
        </is>
      </c>
      <c r="P36" s="70" t="inlineStr">
        <is>
          <t>A</t>
        </is>
      </c>
      <c r="Q36" s="70" t="inlineStr">
        <is>
          <t>A</t>
        </is>
      </c>
      <c r="R36" s="70" t="inlineStr">
        <is>
          <t>C</t>
        </is>
      </c>
      <c r="S36" s="70" t="n"/>
    </row>
    <row r="37" ht="16.5" customHeight="1" s="202" thickBot="1">
      <c r="A37" s="237" t="n"/>
      <c r="B37" s="276" t="inlineStr">
        <is>
          <t>Total</t>
        </is>
      </c>
      <c r="C37" s="277" t="n"/>
      <c r="D37" s="277" t="n"/>
      <c r="E37" s="277" t="n"/>
      <c r="F37" s="277" t="n"/>
      <c r="G37" s="278" t="n"/>
      <c r="H37" s="122">
        <f>H36</f>
        <v/>
      </c>
      <c r="I37" s="122">
        <f>I36</f>
        <v/>
      </c>
      <c r="J37" s="135">
        <f>J36</f>
        <v/>
      </c>
      <c r="K37" s="271" t="n"/>
      <c r="L37" s="271" t="n"/>
      <c r="M37" s="272" t="n"/>
      <c r="N37" s="50" t="n"/>
      <c r="O37" s="69" t="inlineStr">
        <is>
          <t>3nd Row</t>
        </is>
      </c>
      <c r="P37" s="63" t="inlineStr">
        <is>
          <t>A</t>
        </is>
      </c>
      <c r="Q37" s="63" t="inlineStr">
        <is>
          <t>A</t>
        </is>
      </c>
      <c r="R37" s="63" t="inlineStr">
        <is>
          <t>A</t>
        </is>
      </c>
      <c r="S37" s="49" t="n"/>
      <c r="T37" s="64" t="n"/>
      <c r="U37" s="195" t="n"/>
      <c r="V37" s="49" t="n"/>
    </row>
    <row r="38" ht="15.75" customHeight="1" s="202">
      <c r="A38" s="132" t="n"/>
      <c r="B38" s="129" t="n"/>
      <c r="C38" s="129" t="n"/>
      <c r="D38" s="129" t="n"/>
      <c r="E38" s="129" t="n"/>
      <c r="F38" s="129" t="n"/>
      <c r="G38" s="129" t="n"/>
      <c r="H38" s="130" t="n"/>
      <c r="I38" s="130" t="n"/>
      <c r="J38" s="130" t="n"/>
      <c r="K38" s="271" t="n"/>
      <c r="L38" s="271" t="n"/>
      <c r="M38" s="272" t="n"/>
      <c r="N38" s="50" t="n"/>
      <c r="O38" s="69" t="n"/>
      <c r="P38" s="63" t="n"/>
      <c r="Q38" s="63" t="n"/>
      <c r="R38" s="63" t="n"/>
      <c r="S38" s="49" t="n"/>
      <c r="T38" s="64" t="n"/>
      <c r="U38" s="195" t="n"/>
      <c r="V38" s="49" t="n"/>
    </row>
    <row r="39" ht="15.75" customHeight="1" s="202">
      <c r="A39" s="132" t="n"/>
      <c r="B39" s="129" t="n"/>
      <c r="C39" s="129" t="n"/>
      <c r="D39" s="129" t="n"/>
      <c r="E39" s="129" t="n"/>
      <c r="F39" s="129" t="n"/>
      <c r="G39" s="129" t="n"/>
      <c r="H39" s="130" t="n"/>
      <c r="I39" s="130" t="n"/>
      <c r="J39" s="130" t="n"/>
      <c r="K39" s="271" t="n"/>
      <c r="L39" s="271" t="n"/>
      <c r="M39" s="272" t="n"/>
      <c r="N39" s="50" t="n"/>
      <c r="O39" s="69" t="n"/>
      <c r="P39" s="63" t="n"/>
      <c r="Q39" s="63" t="n"/>
      <c r="R39" s="63" t="n"/>
      <c r="S39" s="49" t="n"/>
      <c r="T39" s="64" t="n"/>
      <c r="U39" s="195" t="n"/>
      <c r="V39" s="49" t="n"/>
    </row>
    <row r="40" ht="35.25" customHeight="1" s="202">
      <c r="A40" s="279" t="inlineStr">
        <is>
          <t>Note - As per the total weight, the recommended vehicle is two (2) 40-ft trailers. Alternatively, please confirm with the transporter.</t>
        </is>
      </c>
      <c r="M40" s="82" t="n"/>
      <c r="N40" s="50" t="n"/>
      <c r="O40" s="65" t="n"/>
      <c r="P40" s="63" t="n"/>
      <c r="Q40" s="63" t="n"/>
      <c r="R40" s="62" t="n"/>
      <c r="S40" s="49" t="n"/>
      <c r="T40" s="64" t="n"/>
      <c r="U40" s="64" t="n"/>
      <c r="V40" s="49" t="n"/>
    </row>
    <row r="41">
      <c r="A41" s="109" t="n"/>
      <c r="B41" s="62" t="n"/>
      <c r="C41" s="62" t="n"/>
      <c r="D41" s="62" t="n"/>
      <c r="E41" s="62" t="n"/>
      <c r="F41" s="64" t="n"/>
      <c r="G41" s="64" t="n"/>
      <c r="H41" s="49" t="n"/>
      <c r="I41" s="50" t="n"/>
      <c r="J41" s="50" t="n"/>
      <c r="K41" s="50" t="n"/>
      <c r="L41" s="50" t="n"/>
      <c r="M41" s="91" t="n"/>
      <c r="N41" s="50" t="n"/>
    </row>
    <row r="42">
      <c r="A42" s="109" t="n"/>
      <c r="B42" s="62" t="n"/>
      <c r="C42" s="62" t="n"/>
      <c r="D42" s="62" t="n"/>
      <c r="E42" s="62" t="n"/>
      <c r="F42" s="64" t="n"/>
      <c r="G42" s="64" t="n"/>
      <c r="H42" s="49" t="n"/>
      <c r="I42" s="50" t="n"/>
      <c r="J42" s="50" t="n"/>
      <c r="K42" s="50" t="n"/>
      <c r="L42" s="50" t="n"/>
      <c r="M42" s="91" t="n"/>
      <c r="N42" s="50" t="n"/>
    </row>
    <row r="43">
      <c r="A43" s="203" t="n"/>
      <c r="F43" s="46" t="n"/>
      <c r="G43" s="51" t="n"/>
      <c r="H43" s="51" t="n"/>
      <c r="I43" s="50" t="n"/>
      <c r="J43" s="50" t="n"/>
      <c r="K43" s="50" t="n"/>
      <c r="L43" s="50" t="n"/>
      <c r="M43" s="91" t="n"/>
      <c r="N43" s="50" t="n"/>
    </row>
    <row r="44" ht="15.75" customHeight="1" s="202">
      <c r="A44" s="198" t="n"/>
      <c r="F44" s="46" t="n"/>
      <c r="G44" s="51" t="n"/>
      <c r="H44" s="197" t="inlineStr">
        <is>
          <t>For Lirco Engineering Private Limited</t>
        </is>
      </c>
      <c r="M44" s="82" t="n"/>
      <c r="N44" s="50" t="n"/>
    </row>
    <row r="45">
      <c r="A45" s="200" t="n"/>
      <c r="F45" s="46" t="n"/>
      <c r="G45" s="51" t="n"/>
      <c r="H45" s="51" t="n"/>
      <c r="I45" s="50" t="n"/>
      <c r="J45" s="50" t="n"/>
      <c r="K45" s="50" t="n"/>
      <c r="L45" s="50" t="n"/>
      <c r="M45" s="91" t="n"/>
      <c r="N45" s="50" t="n"/>
    </row>
    <row r="46">
      <c r="A46" s="203" t="n"/>
      <c r="F46" s="46" t="n"/>
      <c r="G46" s="51" t="n"/>
      <c r="H46" s="51" t="n"/>
      <c r="I46" s="50" t="n"/>
      <c r="J46" s="50" t="n"/>
      <c r="K46" s="50" t="n"/>
      <c r="L46" s="50" t="n"/>
      <c r="M46" s="91" t="n"/>
      <c r="N46" s="50" t="n"/>
    </row>
    <row r="47">
      <c r="A47" s="203" t="n"/>
      <c r="F47" s="46" t="n"/>
      <c r="G47" s="51" t="n"/>
      <c r="H47" s="51" t="n"/>
      <c r="I47" s="50" t="n"/>
      <c r="J47" s="50" t="n"/>
      <c r="K47" s="50" t="n"/>
      <c r="L47" s="50" t="n"/>
      <c r="M47" s="91" t="n"/>
      <c r="N47" s="50" t="n"/>
    </row>
    <row r="48">
      <c r="A48" s="203" t="n"/>
      <c r="F48" s="46" t="n"/>
      <c r="G48" s="51" t="n"/>
      <c r="H48" s="51" t="n"/>
      <c r="J48" s="50" t="n"/>
      <c r="K48" s="50" t="n"/>
      <c r="L48" s="50" t="n"/>
      <c r="M48" s="91" t="n"/>
      <c r="N48" s="50" t="n"/>
    </row>
    <row r="49">
      <c r="A49" s="93" t="n"/>
      <c r="B49" s="50" t="n"/>
      <c r="C49" s="50" t="n"/>
      <c r="D49" s="50" t="n"/>
      <c r="E49" s="50" t="n"/>
      <c r="F49" s="46" t="n"/>
      <c r="G49" s="51" t="n"/>
      <c r="H49" s="51" t="n"/>
      <c r="I49" s="195" t="n"/>
      <c r="M49" s="91" t="n"/>
      <c r="N49" s="50" t="n"/>
    </row>
    <row r="50">
      <c r="A50" s="93" t="n"/>
      <c r="B50" s="50" t="n"/>
      <c r="C50" s="50" t="n"/>
      <c r="D50" s="50" t="n"/>
      <c r="E50" s="50" t="n"/>
      <c r="G50" s="51" t="n"/>
      <c r="H50" s="51" t="n"/>
      <c r="J50" s="51" t="n"/>
      <c r="K50" s="51" t="n"/>
      <c r="L50" s="51" t="n"/>
      <c r="M50" s="94" t="n"/>
      <c r="N50" s="50" t="n"/>
    </row>
    <row r="51" ht="15.75" customHeight="1" s="202">
      <c r="A51" s="123" t="n"/>
      <c r="B51" s="103" t="n"/>
      <c r="C51" s="103" t="n"/>
      <c r="D51" s="103" t="n"/>
      <c r="E51" s="103" t="n"/>
      <c r="F51" s="103" t="n"/>
      <c r="G51" s="103" t="n"/>
      <c r="H51" s="103" t="n"/>
      <c r="I51" s="196" t="inlineStr">
        <is>
          <t>Mehul Patel</t>
        </is>
      </c>
      <c r="L51" s="103" t="n"/>
      <c r="M51" s="124" t="n"/>
    </row>
    <row r="52">
      <c r="A52" s="95" t="n"/>
      <c r="B52" s="74" t="n"/>
      <c r="C52" s="74" t="n"/>
      <c r="D52" s="74" t="n"/>
      <c r="E52" s="74" t="n"/>
      <c r="F52" s="74" t="n"/>
      <c r="G52" s="74" t="n"/>
      <c r="H52" s="74" t="n"/>
      <c r="I52" s="204" t="inlineStr">
        <is>
          <t>Contact No. - 8017389931</t>
        </is>
      </c>
      <c r="L52" s="74" t="n"/>
      <c r="M52" s="96" t="n"/>
    </row>
    <row r="53">
      <c r="A53" s="95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96" t="n"/>
    </row>
    <row r="54" ht="15.75" customHeight="1" s="202" thickBot="1">
      <c r="A54" s="112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4" t="n"/>
    </row>
    <row r="5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</row>
    <row r="56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</row>
    <row r="57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</row>
    <row r="58"/>
    <row r="59">
      <c r="A59" s="191" t="inlineStr">
        <is>
          <t>LOADING DIMENSIONS</t>
        </is>
      </c>
      <c r="B59" s="55" t="n"/>
      <c r="C59" s="55" t="n"/>
      <c r="D59" s="55" t="n"/>
      <c r="E59" s="55" t="n"/>
      <c r="F59" s="58" t="n"/>
    </row>
    <row r="60" ht="49.5" customHeight="1" s="202">
      <c r="A60" s="35" t="inlineStr">
        <is>
          <t>Configuration</t>
        </is>
      </c>
      <c r="B60" s="66" t="n"/>
      <c r="C60" s="34" t="inlineStr">
        <is>
          <t>No. of Crates</t>
        </is>
      </c>
      <c r="D60" s="34" t="inlineStr">
        <is>
          <t>Loaded Width (mm)</t>
        </is>
      </c>
      <c r="E60" s="34" t="inlineStr">
        <is>
          <t>Loaded Height (mm)</t>
        </is>
      </c>
      <c r="F60" s="36" t="inlineStr">
        <is>
          <t>Loaded Length (mm)</t>
        </is>
      </c>
      <c r="G60" s="52" t="inlineStr">
        <is>
          <t>No of trailers reqd.</t>
        </is>
      </c>
      <c r="H60" s="52" t="inlineStr">
        <is>
          <t>Weight in each trailer</t>
        </is>
      </c>
    </row>
    <row r="61">
      <c r="A61" s="37" t="inlineStr">
        <is>
          <t>Side-by-Side (2 Crates)</t>
        </is>
      </c>
      <c r="B61" s="67" t="n"/>
      <c r="C61" s="39" t="n">
        <v>9</v>
      </c>
      <c r="D61" s="39" t="n">
        <v>1700</v>
      </c>
      <c r="E61" s="43" t="n">
        <v>2925</v>
      </c>
      <c r="F61" s="40" t="n">
        <v>7600</v>
      </c>
    </row>
    <row r="62" ht="15.75" customHeight="1" s="202" thickBot="1">
      <c r="A62" s="38" t="inlineStr">
        <is>
          <t>Side-by-Side (3 Crates)</t>
        </is>
      </c>
      <c r="B62" s="68" t="n"/>
      <c r="C62" s="41" t="n">
        <v>9</v>
      </c>
      <c r="D62" s="44" t="n">
        <v>2550</v>
      </c>
      <c r="E62" s="41" t="n">
        <v>2400</v>
      </c>
      <c r="F62" s="42" t="n">
        <v>7600</v>
      </c>
    </row>
  </sheetData>
  <mergeCells count="43">
    <mergeCell ref="J22:M22"/>
    <mergeCell ref="B25:C25"/>
    <mergeCell ref="D34:E34"/>
    <mergeCell ref="F34:G34"/>
    <mergeCell ref="A11:E11"/>
    <mergeCell ref="J12:M12"/>
    <mergeCell ref="B27:C27"/>
    <mergeCell ref="R26:R32"/>
    <mergeCell ref="A17:E18"/>
    <mergeCell ref="J11:L11"/>
    <mergeCell ref="P34:R34"/>
    <mergeCell ref="I52:K52"/>
    <mergeCell ref="B37:G37"/>
    <mergeCell ref="J17:M17"/>
    <mergeCell ref="A32:I32"/>
    <mergeCell ref="A40:M40"/>
    <mergeCell ref="E28:F28"/>
    <mergeCell ref="G28:H28"/>
    <mergeCell ref="B28:B29"/>
    <mergeCell ref="I49:L49"/>
    <mergeCell ref="J19:M19"/>
    <mergeCell ref="I51:K51"/>
    <mergeCell ref="B22:C23"/>
    <mergeCell ref="J13:M13"/>
    <mergeCell ref="B29:C29"/>
    <mergeCell ref="A22:A23"/>
    <mergeCell ref="G22:I22"/>
    <mergeCell ref="B34:C34"/>
    <mergeCell ref="A8:M9"/>
    <mergeCell ref="B28:C28"/>
    <mergeCell ref="J15:M15"/>
    <mergeCell ref="A59:F59"/>
    <mergeCell ref="B24:C24"/>
    <mergeCell ref="A45:E46"/>
    <mergeCell ref="A28:A29"/>
    <mergeCell ref="A34:A37"/>
    <mergeCell ref="D22:F22"/>
    <mergeCell ref="H44:M44"/>
    <mergeCell ref="C28:D28"/>
    <mergeCell ref="J16:M16"/>
    <mergeCell ref="B26:C26"/>
    <mergeCell ref="A44:E44"/>
    <mergeCell ref="A33:J33"/>
  </mergeCells>
  <pageMargins left="0.3937007874015748" right="0.3937007874015748" top="0.5511811023622047" bottom="0.5511811023622047" header="0.3149606299212598" footer="0.3149606299212598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Shree</dc:creator>
  <dcterms:created xsi:type="dcterms:W3CDTF">2023-03-28T05:35:53Z</dcterms:created>
  <dcterms:modified xsi:type="dcterms:W3CDTF">2026-01-13T10:43:49Z</dcterms:modified>
  <cp:lastModifiedBy>Shree</cp:lastModifiedBy>
  <cp:lastPrinted>2025-05-21T06:57:08Z</cp:lastPrinted>
</cp:coreProperties>
</file>