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GDrive\Confirmed Orders\25-26\PI 010 AREPL 215+333+60 Nos\"/>
    </mc:Choice>
  </mc:AlternateContent>
  <bookViews>
    <workbookView xWindow="240" yWindow="90" windowWidth="20055" windowHeight="10485"/>
  </bookViews>
  <sheets>
    <sheet name="PL" sheetId="1" r:id="rId1"/>
  </sheets>
  <definedNames>
    <definedName name="_xlnm.Print_Area" localSheetId="0">PL!$A$1:$M$65</definedName>
  </definedNames>
  <calcPr calcId="162913"/>
</workbook>
</file>

<file path=xl/calcChain.xml><?xml version="1.0" encoding="utf-8"?>
<calcChain xmlns="http://schemas.openxmlformats.org/spreadsheetml/2006/main">
  <c r="N28" i="1" l="1"/>
  <c r="N27" i="1"/>
  <c r="N26" i="1"/>
  <c r="N25" i="1"/>
  <c r="N24" i="1"/>
  <c r="M28" i="1" l="1"/>
  <c r="L28" i="1"/>
  <c r="K28" i="1"/>
  <c r="J28" i="1"/>
  <c r="M27" i="1"/>
  <c r="L27" i="1"/>
  <c r="K27" i="1"/>
  <c r="J27" i="1"/>
  <c r="M25" i="1"/>
  <c r="L25" i="1"/>
  <c r="K25" i="1"/>
  <c r="J25" i="1"/>
  <c r="F36" i="1" l="1"/>
  <c r="D36" i="1" l="1"/>
  <c r="I37" i="1" l="1"/>
  <c r="G36" i="1" l="1"/>
  <c r="B29" i="1" l="1"/>
  <c r="H36" i="1" s="1"/>
  <c r="H37" i="1" s="1"/>
  <c r="E36" i="1" l="1"/>
  <c r="C36" i="1"/>
  <c r="M24" i="1"/>
  <c r="J26" i="1" l="1"/>
  <c r="K26" i="1" l="1"/>
  <c r="L26" i="1"/>
  <c r="M26" i="1"/>
  <c r="L24" i="1" l="1"/>
  <c r="K24" i="1"/>
  <c r="J24" i="1"/>
  <c r="N29" i="1" l="1"/>
  <c r="J29" i="1"/>
  <c r="K29" i="1" l="1"/>
  <c r="L29" i="1" l="1"/>
  <c r="M29" i="1"/>
  <c r="J36" i="1" s="1"/>
  <c r="J37" i="1" s="1"/>
</calcChain>
</file>

<file path=xl/sharedStrings.xml><?xml version="1.0" encoding="utf-8"?>
<sst xmlns="http://schemas.openxmlformats.org/spreadsheetml/2006/main" count="96" uniqueCount="81">
  <si>
    <t>Lirco Engineering Private Limited</t>
  </si>
  <si>
    <t>Description of Goods</t>
  </si>
  <si>
    <t>Total</t>
  </si>
  <si>
    <t>Project :</t>
  </si>
  <si>
    <t>LR No.</t>
  </si>
  <si>
    <t>Way Bill No.</t>
  </si>
  <si>
    <t xml:space="preserve">Vehicle No : </t>
  </si>
  <si>
    <t>Insurance Policy No:</t>
  </si>
  <si>
    <t>Buyer :</t>
  </si>
  <si>
    <t>Width (mm)</t>
  </si>
  <si>
    <t>Dist. Gandhinagar, Gujarat -382315</t>
  </si>
  <si>
    <t>Seller :</t>
  </si>
  <si>
    <t>Length (mm)</t>
  </si>
  <si>
    <t>Height (mm)</t>
  </si>
  <si>
    <t>Dehgam-Modasa Road, Ta. Dehgam,</t>
  </si>
  <si>
    <t>For Lirco Engineering Private Limited</t>
  </si>
  <si>
    <t>No. of crates</t>
  </si>
  <si>
    <t>Total Pcs</t>
  </si>
  <si>
    <t>PER CRATE DETAILS</t>
  </si>
  <si>
    <t>PER CRATE DIMENSIONS</t>
  </si>
  <si>
    <t>TOTAL</t>
  </si>
  <si>
    <t>Gross Volume (m3)</t>
  </si>
  <si>
    <t>Buyer P.O. No. -</t>
  </si>
  <si>
    <t>mm</t>
  </si>
  <si>
    <t>LIRCO ENGINEERING PVT. LTD.</t>
  </si>
  <si>
    <t xml:space="preserve">Dehgam - Modasa Road, </t>
  </si>
  <si>
    <t>Ta - Dehgam, Gandhinagar,</t>
  </si>
  <si>
    <t>Gujarat - 382315</t>
  </si>
  <si>
    <t>Email - sales@lircoengg.in</t>
  </si>
  <si>
    <t>PACKING LIST</t>
  </si>
  <si>
    <t>Packing List  No. -</t>
  </si>
  <si>
    <t>Dated -</t>
  </si>
  <si>
    <t>CIN : U28100GJ1998PTC034524</t>
  </si>
  <si>
    <t>GSTIN/UIN: 24AAACB8431B1ZA</t>
  </si>
  <si>
    <t>Collecting Electrodes</t>
  </si>
  <si>
    <t>Net Weight (kg.)</t>
  </si>
  <si>
    <t>Gross  Weight (Kg.)</t>
  </si>
  <si>
    <t>Gross  Weight (kg.)</t>
  </si>
  <si>
    <t>No. of Pcs</t>
  </si>
  <si>
    <t>Configuration</t>
  </si>
  <si>
    <t>No. of Crates</t>
  </si>
  <si>
    <t>Loaded Width (mm)</t>
  </si>
  <si>
    <t>Loaded Height (mm)</t>
  </si>
  <si>
    <t>Loaded Length (mm)</t>
  </si>
  <si>
    <t>Side-by-Side (2 Crates)</t>
  </si>
  <si>
    <t>Side-by-Side (3 Crates)</t>
  </si>
  <si>
    <t>LOADING DIMENSIONS</t>
  </si>
  <si>
    <t>No of trailers reqd.</t>
  </si>
  <si>
    <t>Weight in each trailer</t>
  </si>
  <si>
    <t>Ft</t>
  </si>
  <si>
    <t>Total Crates</t>
  </si>
  <si>
    <t>Weight</t>
  </si>
  <si>
    <t>A</t>
  </si>
  <si>
    <t>C</t>
  </si>
  <si>
    <t>1st Row</t>
  </si>
  <si>
    <t>3nd Row</t>
  </si>
  <si>
    <t>Kg.</t>
  </si>
  <si>
    <t>Nos.</t>
  </si>
  <si>
    <t>Pcs</t>
  </si>
  <si>
    <t xml:space="preserve">LOADING DIMENSIONS - </t>
  </si>
  <si>
    <t>Loaded Width</t>
  </si>
  <si>
    <t xml:space="preserve">Loaded Height </t>
  </si>
  <si>
    <t>Loaded Length</t>
  </si>
  <si>
    <t>Mehul Patel</t>
  </si>
  <si>
    <t>Contact No. - 8017389931</t>
  </si>
  <si>
    <t xml:space="preserve">Vehicles Reqd. </t>
  </si>
  <si>
    <t>Option A</t>
  </si>
  <si>
    <t>1100</t>
  </si>
  <si>
    <t xml:space="preserve">Arrowrise Energy Pvt. Ltd. </t>
  </si>
  <si>
    <r>
      <t xml:space="preserve">GSTIN/UIN: </t>
    </r>
    <r>
      <rPr>
        <sz val="12"/>
        <color theme="1"/>
        <rFont val="Calibri"/>
        <family val="2"/>
        <scheme val="minor"/>
      </rPr>
      <t>27AAXCA8226G1Z7</t>
    </r>
  </si>
  <si>
    <t>8th Floor, Ofice No - 812, B Zone, Mumbai Pune Old Highway, Pimpri Chinchwad, Pune, MH - 411018</t>
  </si>
  <si>
    <t>21.05.2025</t>
  </si>
  <si>
    <t>PL/21/25-26</t>
  </si>
  <si>
    <t>PO-2504012</t>
  </si>
  <si>
    <t>1025</t>
  </si>
  <si>
    <t>1000</t>
  </si>
  <si>
    <t>925</t>
  </si>
  <si>
    <r>
      <t>Our P.I. No. 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010/25-26</t>
    </r>
  </si>
  <si>
    <r>
      <t>Total Order Quantity 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608 Nos.</t>
    </r>
  </si>
  <si>
    <t>2</t>
  </si>
  <si>
    <r>
      <rPr>
        <b/>
        <u/>
        <sz val="12"/>
        <color theme="1"/>
        <rFont val="Calibri"/>
        <family val="2"/>
        <scheme val="minor"/>
      </rPr>
      <t>Note -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As per the total weight, the recommended vehicle is </t>
    </r>
    <r>
      <rPr>
        <b/>
        <u/>
        <sz val="12"/>
        <color theme="1"/>
        <rFont val="Calibri"/>
        <family val="2"/>
        <scheme val="minor"/>
      </rPr>
      <t>two (2) 40-ft trailers</t>
    </r>
    <r>
      <rPr>
        <sz val="12"/>
        <color theme="1"/>
        <rFont val="Calibri"/>
        <family val="2"/>
        <scheme val="minor"/>
      </rPr>
      <t>. Alternatively, please confirm with the transporter.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</si>
</sst>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&quot; Kg.&quot;"/>
    <numFmt numFmtId="165" formatCode="&quot;&quot;0"/>
    <numFmt numFmtId="166" formatCode="&quot;&quot;0.0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0" fontId="0" fillId="0" borderId="0" xfId="0" applyBorder="1"/>
    <xf numFmtId="0" fontId="0" fillId="0" borderId="0" xfId="0" applyAlignment="1">
      <alignment horizontal="left"/>
    </xf>
    <xf numFmtId="49" fontId="1" fillId="0" borderId="0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top"/>
    </xf>
    <xf numFmtId="0" fontId="0" fillId="0" borderId="17" xfId="0" applyFont="1" applyBorder="1"/>
    <xf numFmtId="0" fontId="0" fillId="0" borderId="16" xfId="0" applyFont="1" applyBorder="1"/>
    <xf numFmtId="0" fontId="0" fillId="0" borderId="18" xfId="0" applyFont="1" applyBorder="1"/>
    <xf numFmtId="49" fontId="8" fillId="0" borderId="1" xfId="0" applyNumberFormat="1" applyFont="1" applyBorder="1" applyAlignment="1">
      <alignment vertical="top"/>
    </xf>
    <xf numFmtId="49" fontId="10" fillId="0" borderId="0" xfId="0" applyNumberFormat="1" applyFont="1" applyBorder="1" applyAlignment="1">
      <alignment vertical="top"/>
    </xf>
    <xf numFmtId="49" fontId="10" fillId="0" borderId="17" xfId="0" applyNumberFormat="1" applyFont="1" applyBorder="1" applyAlignment="1">
      <alignment vertical="top"/>
    </xf>
    <xf numFmtId="0" fontId="7" fillId="0" borderId="7" xfId="0" applyFont="1" applyBorder="1"/>
    <xf numFmtId="0" fontId="7" fillId="0" borderId="5" xfId="0" applyFont="1" applyBorder="1"/>
    <xf numFmtId="49" fontId="7" fillId="0" borderId="0" xfId="0" applyNumberFormat="1" applyFont="1" applyBorder="1" applyAlignment="1">
      <alignment vertical="top"/>
    </xf>
    <xf numFmtId="49" fontId="7" fillId="0" borderId="17" xfId="0" applyNumberFormat="1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49" fontId="0" fillId="0" borderId="4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horizontal="center" vertical="center"/>
    </xf>
    <xf numFmtId="166" fontId="0" fillId="0" borderId="4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5" fontId="1" fillId="0" borderId="0" xfId="0" applyNumberFormat="1" applyFont="1" applyAlignment="1">
      <alignment vertical="top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0" fillId="0" borderId="0" xfId="0" applyFill="1" applyBorder="1"/>
    <xf numFmtId="49" fontId="2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horizontal="center" vertical="top"/>
    </xf>
    <xf numFmtId="165" fontId="1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49" fontId="4" fillId="0" borderId="0" xfId="0" applyNumberFormat="1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vertical="center"/>
    </xf>
    <xf numFmtId="165" fontId="5" fillId="0" borderId="7" xfId="0" applyNumberFormat="1" applyFont="1" applyBorder="1" applyAlignment="1">
      <alignment vertical="center"/>
    </xf>
    <xf numFmtId="0" fontId="0" fillId="0" borderId="1" xfId="0" applyFont="1" applyBorder="1"/>
    <xf numFmtId="0" fontId="0" fillId="0" borderId="7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Font="1" applyFill="1" applyBorder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1" fontId="3" fillId="0" borderId="0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 applyAlignme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49" fontId="9" fillId="0" borderId="0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11" fillId="0" borderId="16" xfId="0" applyFont="1" applyBorder="1" applyAlignment="1">
      <alignment vertical="center"/>
    </xf>
    <xf numFmtId="0" fontId="11" fillId="0" borderId="7" xfId="0" applyFont="1" applyBorder="1" applyAlignment="1">
      <alignment vertical="top"/>
    </xf>
    <xf numFmtId="0" fontId="7" fillId="0" borderId="30" xfId="0" applyFont="1" applyBorder="1"/>
    <xf numFmtId="49" fontId="3" fillId="0" borderId="32" xfId="0" applyNumberFormat="1" applyFont="1" applyBorder="1" applyAlignment="1">
      <alignment vertical="top"/>
    </xf>
    <xf numFmtId="49" fontId="10" fillId="0" borderId="28" xfId="0" applyNumberFormat="1" applyFont="1" applyBorder="1" applyAlignment="1">
      <alignment vertical="top"/>
    </xf>
    <xf numFmtId="49" fontId="7" fillId="0" borderId="28" xfId="0" applyNumberFormat="1" applyFont="1" applyBorder="1" applyAlignment="1">
      <alignment vertical="top"/>
    </xf>
    <xf numFmtId="0" fontId="0" fillId="0" borderId="29" xfId="0" applyBorder="1"/>
    <xf numFmtId="165" fontId="5" fillId="0" borderId="31" xfId="0" applyNumberFormat="1" applyFont="1" applyBorder="1" applyAlignment="1">
      <alignment vertical="center"/>
    </xf>
    <xf numFmtId="49" fontId="7" fillId="0" borderId="34" xfId="0" applyNumberFormat="1" applyFont="1" applyBorder="1" applyAlignment="1">
      <alignment vertical="top"/>
    </xf>
    <xf numFmtId="49" fontId="1" fillId="0" borderId="28" xfId="0" applyNumberFormat="1" applyFont="1" applyBorder="1" applyAlignment="1">
      <alignment vertical="top"/>
    </xf>
    <xf numFmtId="0" fontId="1" fillId="0" borderId="29" xfId="0" applyFont="1" applyBorder="1" applyAlignment="1">
      <alignment horizontal="left" vertical="center"/>
    </xf>
    <xf numFmtId="49" fontId="0" fillId="0" borderId="14" xfId="0" applyNumberFormat="1" applyFont="1" applyBorder="1" applyAlignment="1">
      <alignment vertical="center" wrapText="1"/>
    </xf>
    <xf numFmtId="165" fontId="1" fillId="0" borderId="29" xfId="0" applyNumberFormat="1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vertical="top"/>
    </xf>
    <xf numFmtId="0" fontId="0" fillId="0" borderId="28" xfId="0" applyFill="1" applyBorder="1"/>
    <xf numFmtId="0" fontId="1" fillId="0" borderId="29" xfId="0" applyFont="1" applyBorder="1" applyAlignment="1">
      <alignment vertical="top"/>
    </xf>
    <xf numFmtId="0" fontId="0" fillId="0" borderId="28" xfId="0" applyBorder="1"/>
    <xf numFmtId="0" fontId="1" fillId="0" borderId="28" xfId="0" applyFont="1" applyBorder="1" applyAlignment="1">
      <alignment vertical="top"/>
    </xf>
    <xf numFmtId="49" fontId="4" fillId="0" borderId="29" xfId="0" applyNumberFormat="1" applyFont="1" applyBorder="1" applyAlignment="1">
      <alignment vertical="top"/>
    </xf>
    <xf numFmtId="49" fontId="9" fillId="0" borderId="28" xfId="0" applyNumberFormat="1" applyFont="1" applyBorder="1" applyAlignment="1">
      <alignment horizontal="center" vertical="top"/>
    </xf>
    <xf numFmtId="49" fontId="9" fillId="0" borderId="29" xfId="0" applyNumberFormat="1" applyFont="1" applyBorder="1" applyAlignment="1">
      <alignment horizontal="center" vertical="top"/>
    </xf>
    <xf numFmtId="0" fontId="6" fillId="0" borderId="0" xfId="0" applyFont="1" applyBorder="1" applyAlignment="1">
      <alignment vertical="center"/>
    </xf>
    <xf numFmtId="0" fontId="7" fillId="0" borderId="28" xfId="0" applyFont="1" applyBorder="1"/>
    <xf numFmtId="0" fontId="7" fillId="0" borderId="0" xfId="0" applyFont="1" applyBorder="1"/>
    <xf numFmtId="0" fontId="10" fillId="0" borderId="0" xfId="0" applyFont="1" applyBorder="1"/>
    <xf numFmtId="0" fontId="10" fillId="0" borderId="17" xfId="0" applyFont="1" applyBorder="1"/>
    <xf numFmtId="49" fontId="11" fillId="0" borderId="2" xfId="0" applyNumberFormat="1" applyFont="1" applyBorder="1" applyAlignment="1">
      <alignment vertical="top"/>
    </xf>
    <xf numFmtId="49" fontId="9" fillId="0" borderId="0" xfId="0" applyNumberFormat="1" applyFont="1" applyBorder="1" applyAlignment="1">
      <alignment vertical="top"/>
    </xf>
    <xf numFmtId="49" fontId="2" fillId="0" borderId="17" xfId="0" applyNumberFormat="1" applyFont="1" applyBorder="1" applyAlignment="1">
      <alignment vertical="top"/>
    </xf>
    <xf numFmtId="49" fontId="2" fillId="0" borderId="29" xfId="0" applyNumberFormat="1" applyFont="1" applyBorder="1" applyAlignment="1">
      <alignment vertical="top"/>
    </xf>
    <xf numFmtId="165" fontId="8" fillId="0" borderId="0" xfId="0" applyNumberFormat="1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 wrapText="1"/>
    </xf>
    <xf numFmtId="49" fontId="8" fillId="0" borderId="28" xfId="0" applyNumberFormat="1" applyFont="1" applyFill="1" applyBorder="1" applyAlignment="1">
      <alignment horizontal="center" vertical="center"/>
    </xf>
    <xf numFmtId="165" fontId="5" fillId="0" borderId="29" xfId="0" applyNumberFormat="1" applyFont="1" applyFill="1" applyBorder="1" applyAlignment="1">
      <alignment horizontal="center" vertical="center"/>
    </xf>
    <xf numFmtId="49" fontId="9" fillId="0" borderId="35" xfId="0" applyNumberFormat="1" applyFont="1" applyBorder="1" applyAlignment="1">
      <alignment horizontal="center" vertical="top"/>
    </xf>
    <xf numFmtId="49" fontId="9" fillId="0" borderId="9" xfId="0" applyNumberFormat="1" applyFont="1" applyBorder="1" applyAlignment="1">
      <alignment horizontal="center" vertical="top"/>
    </xf>
    <xf numFmtId="49" fontId="9" fillId="0" borderId="36" xfId="0" applyNumberFormat="1" applyFont="1" applyBorder="1" applyAlignment="1">
      <alignment horizontal="center" vertical="top"/>
    </xf>
    <xf numFmtId="49" fontId="5" fillId="2" borderId="4" xfId="0" applyNumberFormat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1" fontId="0" fillId="0" borderId="4" xfId="0" applyNumberFormat="1" applyFont="1" applyFill="1" applyBorder="1" applyAlignment="1">
      <alignment horizontal="center" vertical="center" wrapText="1"/>
    </xf>
    <xf numFmtId="1" fontId="0" fillId="0" borderId="4" xfId="0" applyNumberFormat="1" applyFont="1" applyFill="1" applyBorder="1" applyAlignment="1">
      <alignment horizontal="center" vertical="center"/>
    </xf>
    <xf numFmtId="2" fontId="0" fillId="6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1" fontId="0" fillId="0" borderId="15" xfId="0" applyNumberFormat="1" applyFont="1" applyFill="1" applyBorder="1" applyAlignment="1">
      <alignment horizontal="center" vertical="center"/>
    </xf>
    <xf numFmtId="1" fontId="0" fillId="0" borderId="19" xfId="0" applyNumberFormat="1" applyFont="1" applyFill="1" applyBorder="1" applyAlignment="1">
      <alignment horizontal="center" vertical="center"/>
    </xf>
    <xf numFmtId="49" fontId="9" fillId="0" borderId="28" xfId="0" applyNumberFormat="1" applyFont="1" applyBorder="1" applyAlignment="1">
      <alignment vertical="top"/>
    </xf>
    <xf numFmtId="49" fontId="9" fillId="0" borderId="29" xfId="0" applyNumberFormat="1" applyFont="1" applyBorder="1" applyAlignment="1">
      <alignment vertical="top"/>
    </xf>
    <xf numFmtId="49" fontId="5" fillId="2" borderId="15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1" fontId="7" fillId="0" borderId="0" xfId="0" applyNumberFormat="1" applyFont="1" applyFill="1" applyBorder="1" applyAlignment="1">
      <alignment horizontal="right" vertical="center" wrapText="1"/>
    </xf>
    <xf numFmtId="1" fontId="0" fillId="0" borderId="0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 wrapText="1"/>
    </xf>
    <xf numFmtId="49" fontId="7" fillId="0" borderId="3" xfId="0" applyNumberFormat="1" applyFont="1" applyBorder="1" applyAlignment="1">
      <alignment vertical="top"/>
    </xf>
    <xf numFmtId="165" fontId="7" fillId="6" borderId="20" xfId="0" applyNumberFormat="1" applyFont="1" applyFill="1" applyBorder="1" applyAlignment="1">
      <alignment horizontal="center" vertical="center"/>
    </xf>
    <xf numFmtId="1" fontId="0" fillId="6" borderId="20" xfId="0" applyNumberFormat="1" applyFont="1" applyFill="1" applyBorder="1" applyAlignment="1">
      <alignment horizontal="center" vertical="center"/>
    </xf>
    <xf numFmtId="49" fontId="7" fillId="5" borderId="21" xfId="0" applyNumberFormat="1" applyFont="1" applyFill="1" applyBorder="1" applyAlignment="1">
      <alignment horizontal="center" vertical="center"/>
    </xf>
    <xf numFmtId="1" fontId="7" fillId="5" borderId="19" xfId="0" applyNumberFormat="1" applyFont="1" applyFill="1" applyBorder="1" applyAlignment="1">
      <alignment horizontal="center" vertical="center"/>
    </xf>
    <xf numFmtId="166" fontId="7" fillId="5" borderId="19" xfId="0" applyNumberFormat="1" applyFont="1" applyFill="1" applyBorder="1" applyAlignment="1">
      <alignment horizontal="center" vertical="center"/>
    </xf>
    <xf numFmtId="49" fontId="6" fillId="0" borderId="28" xfId="0" applyNumberFormat="1" applyFont="1" applyBorder="1" applyAlignment="1">
      <alignment vertical="top"/>
    </xf>
    <xf numFmtId="49" fontId="5" fillId="2" borderId="23" xfId="0" applyNumberFormat="1" applyFont="1" applyFill="1" applyBorder="1" applyAlignment="1">
      <alignment horizontal="center" vertical="center" wrapText="1"/>
    </xf>
    <xf numFmtId="165" fontId="7" fillId="5" borderId="19" xfId="0" applyNumberFormat="1" applyFont="1" applyFill="1" applyBorder="1" applyAlignment="1">
      <alignment horizontal="center" vertical="center"/>
    </xf>
    <xf numFmtId="0" fontId="0" fillId="0" borderId="0" xfId="0" applyFont="1" applyBorder="1"/>
    <xf numFmtId="49" fontId="5" fillId="2" borderId="4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top" wrapText="1"/>
    </xf>
    <xf numFmtId="49" fontId="10" fillId="0" borderId="6" xfId="0" applyNumberFormat="1" applyFont="1" applyBorder="1" applyAlignment="1">
      <alignment vertical="top" wrapText="1"/>
    </xf>
    <xf numFmtId="0" fontId="11" fillId="0" borderId="16" xfId="0" applyFont="1" applyBorder="1" applyAlignment="1">
      <alignment vertical="top"/>
    </xf>
    <xf numFmtId="0" fontId="0" fillId="0" borderId="0" xfId="0" applyAlignment="1">
      <alignment horizontal="center" wrapText="1"/>
    </xf>
    <xf numFmtId="165" fontId="7" fillId="5" borderId="19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49" fontId="14" fillId="4" borderId="26" xfId="0" applyNumberFormat="1" applyFont="1" applyFill="1" applyBorder="1" applyAlignment="1">
      <alignment horizontal="center" vertical="center"/>
    </xf>
    <xf numFmtId="49" fontId="14" fillId="4" borderId="8" xfId="0" applyNumberFormat="1" applyFont="1" applyFill="1" applyBorder="1" applyAlignment="1">
      <alignment horizontal="center" vertical="center"/>
    </xf>
    <xf numFmtId="49" fontId="14" fillId="4" borderId="27" xfId="0" applyNumberFormat="1" applyFont="1" applyFill="1" applyBorder="1" applyAlignment="1">
      <alignment horizontal="center" vertical="center"/>
    </xf>
    <xf numFmtId="49" fontId="14" fillId="4" borderId="35" xfId="0" applyNumberFormat="1" applyFont="1" applyFill="1" applyBorder="1" applyAlignment="1">
      <alignment horizontal="center" vertical="center"/>
    </xf>
    <xf numFmtId="49" fontId="14" fillId="4" borderId="9" xfId="0" applyNumberFormat="1" applyFont="1" applyFill="1" applyBorder="1" applyAlignment="1">
      <alignment horizontal="center" vertical="center"/>
    </xf>
    <xf numFmtId="49" fontId="14" fillId="4" borderId="36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49" fontId="6" fillId="0" borderId="28" xfId="0" applyNumberFormat="1" applyFont="1" applyBorder="1" applyAlignment="1">
      <alignment vertical="top"/>
    </xf>
    <xf numFmtId="49" fontId="6" fillId="0" borderId="0" xfId="0" applyNumberFormat="1" applyFont="1" applyBorder="1" applyAlignment="1">
      <alignment vertical="top"/>
    </xf>
    <xf numFmtId="49" fontId="6" fillId="0" borderId="17" xfId="0" applyNumberFormat="1" applyFont="1" applyBorder="1" applyAlignment="1">
      <alignment vertical="top"/>
    </xf>
    <xf numFmtId="49" fontId="7" fillId="0" borderId="3" xfId="0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49" fontId="10" fillId="0" borderId="28" xfId="0" applyNumberFormat="1" applyFont="1" applyBorder="1" applyAlignment="1">
      <alignment horizontal="left" vertical="top" wrapText="1"/>
    </xf>
    <xf numFmtId="49" fontId="10" fillId="0" borderId="0" xfId="0" applyNumberFormat="1" applyFont="1" applyBorder="1" applyAlignment="1">
      <alignment horizontal="left" vertical="top" wrapText="1"/>
    </xf>
    <xf numFmtId="49" fontId="10" fillId="0" borderId="17" xfId="0" applyNumberFormat="1" applyFont="1" applyBorder="1" applyAlignment="1">
      <alignment horizontal="left" vertical="top" wrapText="1"/>
    </xf>
    <xf numFmtId="165" fontId="5" fillId="0" borderId="4" xfId="0" applyNumberFormat="1" applyFont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/>
    </xf>
    <xf numFmtId="0" fontId="15" fillId="3" borderId="40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top" wrapText="1"/>
    </xf>
    <xf numFmtId="0" fontId="7" fillId="3" borderId="29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7" fillId="0" borderId="2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49" fontId="5" fillId="2" borderId="23" xfId="0" applyNumberFormat="1" applyFont="1" applyFill="1" applyBorder="1" applyAlignment="1">
      <alignment horizontal="center" vertical="center" wrapText="1"/>
    </xf>
    <xf numFmtId="1" fontId="5" fillId="2" borderId="23" xfId="0" applyNumberFormat="1" applyFont="1" applyFill="1" applyBorder="1" applyAlignment="1">
      <alignment horizontal="center" vertical="center" wrapText="1"/>
    </xf>
    <xf numFmtId="1" fontId="7" fillId="0" borderId="37" xfId="0" applyNumberFormat="1" applyFont="1" applyFill="1" applyBorder="1" applyAlignment="1">
      <alignment horizontal="right" vertical="center" wrapText="1"/>
    </xf>
    <xf numFmtId="1" fontId="7" fillId="0" borderId="38" xfId="0" applyNumberFormat="1" applyFont="1" applyFill="1" applyBorder="1" applyAlignment="1">
      <alignment horizontal="right" vertical="center" wrapText="1"/>
    </xf>
    <xf numFmtId="1" fontId="7" fillId="0" borderId="22" xfId="0" applyNumberFormat="1" applyFont="1" applyFill="1" applyBorder="1" applyAlignment="1">
      <alignment horizontal="right" vertical="center" wrapText="1"/>
    </xf>
    <xf numFmtId="0" fontId="5" fillId="2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49" fontId="2" fillId="0" borderId="0" xfId="0" applyNumberFormat="1" applyFont="1" applyBorder="1" applyAlignment="1">
      <alignment horizontal="center" vertical="top"/>
    </xf>
    <xf numFmtId="49" fontId="7" fillId="0" borderId="0" xfId="0" applyNumberFormat="1" applyFont="1" applyBorder="1" applyAlignment="1">
      <alignment horizontal="center" vertical="top"/>
    </xf>
    <xf numFmtId="49" fontId="7" fillId="0" borderId="29" xfId="0" applyNumberFormat="1" applyFont="1" applyBorder="1" applyAlignment="1">
      <alignment horizontal="center" vertical="top"/>
    </xf>
    <xf numFmtId="49" fontId="12" fillId="0" borderId="28" xfId="0" applyNumberFormat="1" applyFont="1" applyBorder="1" applyAlignment="1">
      <alignment vertical="top"/>
    </xf>
    <xf numFmtId="49" fontId="12" fillId="0" borderId="0" xfId="0" applyNumberFormat="1" applyFont="1" applyBorder="1" applyAlignment="1">
      <alignment vertical="top"/>
    </xf>
    <xf numFmtId="49" fontId="0" fillId="0" borderId="28" xfId="0" applyNumberFormat="1" applyFont="1" applyBorder="1" applyAlignment="1">
      <alignment horizontal="left" vertical="top" wrapText="1"/>
    </xf>
    <xf numFmtId="49" fontId="0" fillId="0" borderId="0" xfId="0" applyNumberFormat="1" applyFont="1" applyBorder="1" applyAlignment="1">
      <alignment horizontal="left" vertical="top" wrapText="1"/>
    </xf>
    <xf numFmtId="0" fontId="0" fillId="0" borderId="0" xfId="0" applyFont="1" applyBorder="1"/>
    <xf numFmtId="0" fontId="0" fillId="0" borderId="28" xfId="0" applyFont="1" applyBorder="1"/>
    <xf numFmtId="49" fontId="5" fillId="0" borderId="0" xfId="0" applyNumberFormat="1" applyFont="1" applyBorder="1" applyAlignment="1">
      <alignment horizontal="center" vertical="top"/>
    </xf>
    <xf numFmtId="0" fontId="11" fillId="0" borderId="10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114301</xdr:rowOff>
    </xdr:from>
    <xdr:to>
      <xdr:col>0</xdr:col>
      <xdr:colOff>1484294</xdr:colOff>
      <xdr:row>4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4301"/>
          <a:ext cx="1293794" cy="761999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561976</xdr:colOff>
      <xdr:row>44</xdr:row>
      <xdr:rowOff>19051</xdr:rowOff>
    </xdr:from>
    <xdr:to>
      <xdr:col>11</xdr:col>
      <xdr:colOff>476250</xdr:colOff>
      <xdr:row>49</xdr:row>
      <xdr:rowOff>101658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10077451"/>
          <a:ext cx="2076449" cy="1035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"/>
  <sheetViews>
    <sheetView tabSelected="1" zoomScaleNormal="100" zoomScaleSheetLayoutView="100" workbookViewId="0">
      <selection activeCell="N29" sqref="N29"/>
    </sheetView>
  </sheetViews>
  <sheetFormatPr defaultRowHeight="15" x14ac:dyDescent="0.25"/>
  <cols>
    <col min="1" max="1" width="24.7109375" customWidth="1"/>
    <col min="2" max="2" width="5.42578125" customWidth="1"/>
    <col min="3" max="3" width="5.7109375" customWidth="1"/>
    <col min="4" max="4" width="7.42578125" bestFit="1" customWidth="1"/>
    <col min="5" max="5" width="6.5703125" customWidth="1"/>
    <col min="6" max="6" width="7.140625" customWidth="1"/>
    <col min="7" max="7" width="7" bestFit="1" customWidth="1"/>
    <col min="8" max="8" width="8.140625" customWidth="1"/>
    <col min="9" max="9" width="8.42578125" customWidth="1"/>
    <col min="10" max="10" width="7.5703125" customWidth="1"/>
    <col min="11" max="11" width="8" customWidth="1"/>
    <col min="12" max="12" width="7.28515625" customWidth="1"/>
    <col min="13" max="13" width="8" customWidth="1"/>
    <col min="14" max="14" width="10.5703125" bestFit="1" customWidth="1"/>
    <col min="15" max="15" width="16.28515625" bestFit="1" customWidth="1"/>
    <col min="16" max="17" width="5" bestFit="1" customWidth="1"/>
    <col min="18" max="18" width="6.85546875" customWidth="1"/>
  </cols>
  <sheetData>
    <row r="1" spans="1:15" ht="18.75" x14ac:dyDescent="0.25">
      <c r="A1" s="72"/>
      <c r="B1" s="72"/>
      <c r="C1" s="72"/>
      <c r="D1" s="72"/>
      <c r="E1" s="8"/>
      <c r="F1" s="8"/>
      <c r="G1" s="8"/>
      <c r="H1" s="8"/>
      <c r="I1" s="128" t="s">
        <v>24</v>
      </c>
      <c r="J1" s="97"/>
      <c r="K1" s="97"/>
      <c r="L1" s="8"/>
      <c r="M1" s="8"/>
    </row>
    <row r="2" spans="1:15" ht="15.75" x14ac:dyDescent="0.25">
      <c r="A2" s="72"/>
      <c r="B2" s="72"/>
      <c r="C2" s="72"/>
      <c r="D2" s="72"/>
      <c r="E2" s="8"/>
      <c r="F2" s="8"/>
      <c r="G2" s="8"/>
      <c r="H2" s="8"/>
      <c r="I2" s="126" t="s">
        <v>25</v>
      </c>
      <c r="J2" s="72"/>
      <c r="K2" s="73"/>
      <c r="L2" s="8"/>
      <c r="M2" s="8"/>
    </row>
    <row r="3" spans="1:15" ht="15.75" x14ac:dyDescent="0.25">
      <c r="A3" s="72"/>
      <c r="B3" s="72"/>
      <c r="C3" s="72"/>
      <c r="D3" s="72"/>
      <c r="E3" s="8"/>
      <c r="F3" s="8"/>
      <c r="G3" s="8"/>
      <c r="H3" s="8"/>
      <c r="I3" s="126" t="s">
        <v>26</v>
      </c>
      <c r="J3" s="72"/>
      <c r="K3" s="73"/>
      <c r="L3" s="8"/>
      <c r="M3" s="8"/>
    </row>
    <row r="4" spans="1:15" ht="15.75" x14ac:dyDescent="0.25">
      <c r="A4" s="72"/>
      <c r="B4" s="72"/>
      <c r="C4" s="72"/>
      <c r="D4" s="72"/>
      <c r="E4" s="8"/>
      <c r="F4" s="8"/>
      <c r="G4" s="8"/>
      <c r="H4" s="8"/>
      <c r="I4" s="126" t="s">
        <v>27</v>
      </c>
      <c r="J4" s="72"/>
      <c r="K4" s="73"/>
      <c r="L4" s="8"/>
      <c r="M4" s="8"/>
    </row>
    <row r="5" spans="1:15" ht="15.75" x14ac:dyDescent="0.25">
      <c r="A5" s="72"/>
      <c r="B5" s="72"/>
      <c r="C5" s="72"/>
      <c r="D5" s="72"/>
      <c r="E5" s="8"/>
      <c r="F5" s="8"/>
      <c r="G5" s="8"/>
      <c r="H5" s="8"/>
      <c r="I5" s="126" t="s">
        <v>28</v>
      </c>
      <c r="J5" s="72"/>
      <c r="K5" s="73"/>
      <c r="L5" s="8"/>
      <c r="M5" s="8"/>
    </row>
    <row r="6" spans="1:15" ht="15.75" x14ac:dyDescent="0.25">
      <c r="A6" s="72"/>
      <c r="B6" s="72"/>
      <c r="C6" s="72"/>
      <c r="D6" s="72"/>
      <c r="E6" s="8"/>
      <c r="F6" s="8"/>
      <c r="G6" s="8"/>
      <c r="H6" s="8"/>
      <c r="I6" s="127" t="s">
        <v>32</v>
      </c>
      <c r="J6" s="72"/>
      <c r="K6" s="73"/>
      <c r="L6" s="8"/>
      <c r="M6" s="8"/>
    </row>
    <row r="7" spans="1:15" ht="15.75" thickBot="1" x14ac:dyDescent="0.3">
      <c r="A7" s="72"/>
      <c r="B7" s="72"/>
      <c r="C7" s="72"/>
      <c r="D7" s="72"/>
      <c r="E7" s="8"/>
      <c r="F7" s="8"/>
      <c r="G7" s="8"/>
      <c r="H7" s="8"/>
      <c r="I7" s="8"/>
      <c r="J7" s="72"/>
      <c r="K7" s="72"/>
      <c r="L7" s="8"/>
      <c r="M7" s="8"/>
    </row>
    <row r="8" spans="1:15" ht="16.5" customHeight="1" x14ac:dyDescent="0.25">
      <c r="A8" s="152" t="s">
        <v>29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4"/>
      <c r="N8" s="1"/>
    </row>
    <row r="9" spans="1:15" ht="19.5" customHeight="1" thickBot="1" x14ac:dyDescent="0.3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7"/>
      <c r="N9" s="1"/>
    </row>
    <row r="10" spans="1:15" ht="15.75" x14ac:dyDescent="0.25">
      <c r="A10" s="98" t="s">
        <v>11</v>
      </c>
      <c r="B10" s="99"/>
      <c r="C10" s="100"/>
      <c r="D10" s="100"/>
      <c r="E10" s="101"/>
      <c r="F10" s="102" t="s">
        <v>30</v>
      </c>
      <c r="G10" s="103"/>
      <c r="H10" s="103"/>
      <c r="I10" s="104"/>
      <c r="J10" s="102" t="s">
        <v>31</v>
      </c>
      <c r="K10" s="7"/>
      <c r="L10" s="7"/>
      <c r="M10" s="105"/>
      <c r="N10" s="1"/>
    </row>
    <row r="11" spans="1:15" ht="17.25" x14ac:dyDescent="0.25">
      <c r="A11" s="166" t="s">
        <v>0</v>
      </c>
      <c r="B11" s="167"/>
      <c r="C11" s="167"/>
      <c r="D11" s="167"/>
      <c r="E11" s="168"/>
      <c r="F11" s="133" t="s">
        <v>72</v>
      </c>
      <c r="G11" s="14"/>
      <c r="H11" s="14"/>
      <c r="I11" s="10"/>
      <c r="J11" s="169" t="s">
        <v>71</v>
      </c>
      <c r="K11" s="170"/>
      <c r="L11" s="170"/>
      <c r="M11" s="79"/>
      <c r="N11" s="1"/>
    </row>
    <row r="12" spans="1:15" ht="15.75" x14ac:dyDescent="0.25">
      <c r="A12" s="80" t="s">
        <v>14</v>
      </c>
      <c r="B12" s="15"/>
      <c r="C12" s="15"/>
      <c r="D12" s="15"/>
      <c r="E12" s="16"/>
      <c r="F12" s="21"/>
      <c r="G12" s="22"/>
      <c r="H12" s="22"/>
      <c r="I12" s="23"/>
      <c r="J12" s="161" t="s">
        <v>22</v>
      </c>
      <c r="K12" s="161"/>
      <c r="L12" s="161"/>
      <c r="M12" s="162"/>
      <c r="N12" s="1"/>
    </row>
    <row r="13" spans="1:15" ht="15.75" x14ac:dyDescent="0.25">
      <c r="A13" s="80" t="s">
        <v>10</v>
      </c>
      <c r="B13" s="15"/>
      <c r="C13" s="15"/>
      <c r="D13" s="15"/>
      <c r="E13" s="16"/>
      <c r="F13" s="75" t="s">
        <v>7</v>
      </c>
      <c r="G13" s="22"/>
      <c r="H13" s="22"/>
      <c r="I13" s="23"/>
      <c r="J13" s="158" t="s">
        <v>73</v>
      </c>
      <c r="K13" s="159"/>
      <c r="L13" s="159"/>
      <c r="M13" s="160"/>
      <c r="N13" s="1"/>
    </row>
    <row r="14" spans="1:15" ht="15" customHeight="1" x14ac:dyDescent="0.25">
      <c r="A14" s="81" t="s">
        <v>33</v>
      </c>
      <c r="B14" s="19"/>
      <c r="C14" s="15"/>
      <c r="D14" s="15"/>
      <c r="E14" s="16"/>
      <c r="F14" s="76" t="s">
        <v>6</v>
      </c>
      <c r="G14" s="24"/>
      <c r="H14" s="24"/>
      <c r="I14" s="25"/>
      <c r="J14" s="8"/>
      <c r="K14" s="8"/>
      <c r="L14" s="8"/>
      <c r="M14" s="82"/>
      <c r="N14" s="1"/>
    </row>
    <row r="15" spans="1:15" ht="15.75" x14ac:dyDescent="0.25">
      <c r="A15" s="78" t="s">
        <v>8</v>
      </c>
      <c r="B15" s="17"/>
      <c r="C15" s="17"/>
      <c r="D15" s="17"/>
      <c r="E15" s="18"/>
      <c r="F15" s="146" t="s">
        <v>4</v>
      </c>
      <c r="G15" s="12"/>
      <c r="H15" s="12"/>
      <c r="I15" s="13"/>
      <c r="J15" s="163" t="s">
        <v>77</v>
      </c>
      <c r="K15" s="164"/>
      <c r="L15" s="164"/>
      <c r="M15" s="165"/>
      <c r="N15" s="1"/>
      <c r="O15" s="5"/>
    </row>
    <row r="16" spans="1:15" ht="17.25" x14ac:dyDescent="0.25">
      <c r="A16" s="139" t="s">
        <v>68</v>
      </c>
      <c r="B16" s="19"/>
      <c r="C16" s="19"/>
      <c r="D16" s="19"/>
      <c r="E16" s="20"/>
      <c r="F16" s="77" t="s">
        <v>5</v>
      </c>
      <c r="G16" s="56"/>
      <c r="H16" s="56"/>
      <c r="I16" s="57"/>
      <c r="J16" s="149"/>
      <c r="K16" s="150"/>
      <c r="L16" s="150"/>
      <c r="M16" s="151"/>
      <c r="N16" s="1"/>
    </row>
    <row r="17" spans="1:18" ht="15.75" customHeight="1" x14ac:dyDescent="0.25">
      <c r="A17" s="171" t="s">
        <v>70</v>
      </c>
      <c r="B17" s="172"/>
      <c r="C17" s="172"/>
      <c r="D17" s="172"/>
      <c r="E17" s="173"/>
      <c r="F17" s="77" t="s">
        <v>3</v>
      </c>
      <c r="G17" s="56"/>
      <c r="H17" s="56"/>
      <c r="I17" s="57"/>
      <c r="J17" s="205" t="s">
        <v>78</v>
      </c>
      <c r="K17" s="206"/>
      <c r="L17" s="206"/>
      <c r="M17" s="207"/>
      <c r="N17" s="1"/>
    </row>
    <row r="18" spans="1:18" ht="15.75" x14ac:dyDescent="0.25">
      <c r="A18" s="171"/>
      <c r="B18" s="172"/>
      <c r="C18" s="172"/>
      <c r="D18" s="172"/>
      <c r="E18" s="173"/>
      <c r="F18" s="99"/>
      <c r="G18" s="142"/>
      <c r="H18" s="142"/>
      <c r="I18" s="11"/>
      <c r="J18" s="53"/>
      <c r="K18" s="53"/>
      <c r="L18" s="54"/>
      <c r="M18" s="83"/>
      <c r="N18" s="1"/>
    </row>
    <row r="19" spans="1:18" ht="15.75" customHeight="1" x14ac:dyDescent="0.25">
      <c r="A19" s="84" t="s">
        <v>69</v>
      </c>
      <c r="B19" s="144"/>
      <c r="C19" s="144"/>
      <c r="D19" s="144"/>
      <c r="E19" s="145"/>
      <c r="F19" s="55"/>
      <c r="G19" s="55"/>
      <c r="H19" s="55"/>
      <c r="I19" s="58"/>
      <c r="J19" s="211"/>
      <c r="K19" s="211"/>
      <c r="L19" s="211"/>
      <c r="M19" s="212"/>
      <c r="N19" s="1"/>
    </row>
    <row r="20" spans="1:18" x14ac:dyDescent="0.25">
      <c r="A20" s="92"/>
      <c r="B20" s="6"/>
      <c r="C20" s="6"/>
      <c r="D20" s="6"/>
      <c r="E20" s="6"/>
      <c r="F20" s="2"/>
      <c r="G20" s="8"/>
      <c r="H20" s="8"/>
      <c r="I20" s="8"/>
      <c r="J20" s="9"/>
      <c r="K20" s="9"/>
      <c r="L20" s="9"/>
      <c r="M20" s="86"/>
      <c r="N20" s="1"/>
    </row>
    <row r="21" spans="1:18" ht="15.75" thickBot="1" x14ac:dyDescent="0.3">
      <c r="A21" s="85"/>
      <c r="B21" s="6"/>
      <c r="C21" s="6"/>
      <c r="D21" s="6"/>
      <c r="E21" s="6"/>
      <c r="F21" s="2"/>
      <c r="G21" s="2"/>
      <c r="H21" s="2"/>
      <c r="I21" s="2"/>
      <c r="J21" s="2"/>
      <c r="K21" s="2"/>
      <c r="L21" s="2"/>
      <c r="M21" s="91"/>
      <c r="N21" s="1"/>
    </row>
    <row r="22" spans="1:18" x14ac:dyDescent="0.25">
      <c r="A22" s="213" t="s">
        <v>1</v>
      </c>
      <c r="B22" s="208" t="s">
        <v>16</v>
      </c>
      <c r="C22" s="208"/>
      <c r="D22" s="208" t="s">
        <v>19</v>
      </c>
      <c r="E22" s="208"/>
      <c r="F22" s="208"/>
      <c r="G22" s="208" t="s">
        <v>18</v>
      </c>
      <c r="H22" s="208"/>
      <c r="I22" s="208"/>
      <c r="J22" s="208" t="s">
        <v>20</v>
      </c>
      <c r="K22" s="208"/>
      <c r="L22" s="208"/>
      <c r="M22" s="210"/>
      <c r="Q22" s="4"/>
    </row>
    <row r="23" spans="1:18" ht="47.25" customHeight="1" x14ac:dyDescent="0.25">
      <c r="A23" s="214"/>
      <c r="B23" s="209"/>
      <c r="C23" s="209"/>
      <c r="D23" s="143" t="s">
        <v>12</v>
      </c>
      <c r="E23" s="143" t="s">
        <v>9</v>
      </c>
      <c r="F23" s="143" t="s">
        <v>13</v>
      </c>
      <c r="G23" s="143" t="s">
        <v>38</v>
      </c>
      <c r="H23" s="143" t="s">
        <v>35</v>
      </c>
      <c r="I23" s="143" t="s">
        <v>36</v>
      </c>
      <c r="J23" s="143" t="s">
        <v>17</v>
      </c>
      <c r="K23" s="143" t="s">
        <v>21</v>
      </c>
      <c r="L23" s="143" t="s">
        <v>35</v>
      </c>
      <c r="M23" s="125" t="s">
        <v>37</v>
      </c>
    </row>
    <row r="24" spans="1:18" x14ac:dyDescent="0.25">
      <c r="A24" s="87" t="s">
        <v>34</v>
      </c>
      <c r="B24" s="174">
        <v>4</v>
      </c>
      <c r="C24" s="174"/>
      <c r="D24" s="30">
        <v>9700</v>
      </c>
      <c r="E24" s="26" t="s">
        <v>67</v>
      </c>
      <c r="F24" s="27">
        <v>865</v>
      </c>
      <c r="G24" s="27">
        <v>37</v>
      </c>
      <c r="H24" s="27">
        <v>3770</v>
      </c>
      <c r="I24" s="27">
        <v>3980</v>
      </c>
      <c r="J24" s="27">
        <f>G24*B24</f>
        <v>148</v>
      </c>
      <c r="K24" s="29">
        <f>D24*E24*F24/1000000000*B24</f>
        <v>36.918199999999999</v>
      </c>
      <c r="L24" s="27">
        <f>H24*B24</f>
        <v>15080</v>
      </c>
      <c r="M24" s="28">
        <f>I24*B24</f>
        <v>15920</v>
      </c>
      <c r="N24" s="31">
        <f>M24-L24</f>
        <v>840</v>
      </c>
      <c r="O24" s="32"/>
    </row>
    <row r="25" spans="1:18" x14ac:dyDescent="0.25">
      <c r="A25" s="87" t="s">
        <v>34</v>
      </c>
      <c r="B25" s="174">
        <v>1</v>
      </c>
      <c r="C25" s="174"/>
      <c r="D25" s="30">
        <v>9700</v>
      </c>
      <c r="E25" s="26" t="s">
        <v>74</v>
      </c>
      <c r="F25" s="27">
        <v>865</v>
      </c>
      <c r="G25" s="27">
        <v>34</v>
      </c>
      <c r="H25" s="27">
        <v>3461</v>
      </c>
      <c r="I25" s="27">
        <v>3660</v>
      </c>
      <c r="J25" s="27">
        <f>G25*B25</f>
        <v>34</v>
      </c>
      <c r="K25" s="29">
        <f>D25*E25*F25/1000000000*B25</f>
        <v>8.6002624999999995</v>
      </c>
      <c r="L25" s="27">
        <f>H25*B25</f>
        <v>3461</v>
      </c>
      <c r="M25" s="28">
        <f>I25*B25</f>
        <v>3660</v>
      </c>
      <c r="N25" s="31">
        <f t="shared" ref="N25:N28" si="0">M25-L25</f>
        <v>199</v>
      </c>
      <c r="O25" s="32"/>
    </row>
    <row r="26" spans="1:18" x14ac:dyDescent="0.25">
      <c r="A26" s="87" t="s">
        <v>34</v>
      </c>
      <c r="B26" s="174">
        <v>1</v>
      </c>
      <c r="C26" s="174"/>
      <c r="D26" s="30">
        <v>9700</v>
      </c>
      <c r="E26" s="26" t="s">
        <v>75</v>
      </c>
      <c r="F26" s="27">
        <v>865</v>
      </c>
      <c r="G26" s="27">
        <v>33</v>
      </c>
      <c r="H26" s="27">
        <v>3360</v>
      </c>
      <c r="I26" s="27">
        <v>3560</v>
      </c>
      <c r="J26" s="27">
        <f>G26*B26</f>
        <v>33</v>
      </c>
      <c r="K26" s="29">
        <f>D26*E26*F26/1000000000*B26</f>
        <v>8.3904999999999994</v>
      </c>
      <c r="L26" s="27">
        <f>H26*B26</f>
        <v>3360</v>
      </c>
      <c r="M26" s="28">
        <f>I26*B26</f>
        <v>3560</v>
      </c>
      <c r="N26" s="31">
        <f t="shared" si="0"/>
        <v>200</v>
      </c>
      <c r="R26" s="147"/>
    </row>
    <row r="27" spans="1:18" x14ac:dyDescent="0.25">
      <c r="A27" s="87" t="s">
        <v>34</v>
      </c>
      <c r="B27" s="174">
        <v>9</v>
      </c>
      <c r="C27" s="174"/>
      <c r="D27" s="30">
        <v>5200</v>
      </c>
      <c r="E27" s="26" t="s">
        <v>67</v>
      </c>
      <c r="F27" s="27">
        <v>865</v>
      </c>
      <c r="G27" s="27">
        <v>37</v>
      </c>
      <c r="H27" s="27">
        <v>1590</v>
      </c>
      <c r="I27" s="27">
        <v>1730</v>
      </c>
      <c r="J27" s="27">
        <f>G27*B27</f>
        <v>333</v>
      </c>
      <c r="K27" s="29">
        <f>D27*E27*F27/1000000000*B27</f>
        <v>44.530200000000001</v>
      </c>
      <c r="L27" s="27">
        <f>H27*B27</f>
        <v>14310</v>
      </c>
      <c r="M27" s="28">
        <f>I27*B27</f>
        <v>15570</v>
      </c>
      <c r="N27" s="31">
        <f t="shared" si="0"/>
        <v>1260</v>
      </c>
      <c r="R27" s="147"/>
    </row>
    <row r="28" spans="1:18" ht="15.75" customHeight="1" x14ac:dyDescent="0.25">
      <c r="A28" s="87" t="s">
        <v>34</v>
      </c>
      <c r="B28" s="174">
        <v>2</v>
      </c>
      <c r="C28" s="174"/>
      <c r="D28" s="30">
        <v>4100</v>
      </c>
      <c r="E28" s="26" t="s">
        <v>76</v>
      </c>
      <c r="F28" s="27">
        <v>865</v>
      </c>
      <c r="G28" s="27">
        <v>30</v>
      </c>
      <c r="H28" s="27">
        <v>1005</v>
      </c>
      <c r="I28" s="27">
        <v>1100</v>
      </c>
      <c r="J28" s="27">
        <f>G28*B28</f>
        <v>60</v>
      </c>
      <c r="K28" s="29">
        <f>D28*E28*F28/1000000000*B28</f>
        <v>6.5610249999999999</v>
      </c>
      <c r="L28" s="27">
        <f>H28*B28</f>
        <v>2010</v>
      </c>
      <c r="M28" s="28">
        <f>I28*B28</f>
        <v>2200</v>
      </c>
      <c r="N28" s="31">
        <f t="shared" si="0"/>
        <v>190</v>
      </c>
      <c r="R28" s="147"/>
    </row>
    <row r="29" spans="1:18" ht="16.5" thickBot="1" x14ac:dyDescent="0.3">
      <c r="A29" s="136" t="s">
        <v>2</v>
      </c>
      <c r="B29" s="148">
        <f>SUM(B24:C28)</f>
        <v>17</v>
      </c>
      <c r="C29" s="148"/>
      <c r="D29" s="137">
        <v>9700</v>
      </c>
      <c r="E29" s="137">
        <v>2500</v>
      </c>
      <c r="F29" s="137">
        <v>2550</v>
      </c>
      <c r="G29" s="141"/>
      <c r="H29" s="141"/>
      <c r="I29" s="141"/>
      <c r="J29" s="141">
        <f>SUM(J24:J28)</f>
        <v>608</v>
      </c>
      <c r="K29" s="138">
        <f>SUM(K24:K28)</f>
        <v>105.00018750000001</v>
      </c>
      <c r="L29" s="141">
        <f>SUM(L24:L28)</f>
        <v>38221</v>
      </c>
      <c r="M29" s="134">
        <f>SUM(M24:M28)</f>
        <v>40910</v>
      </c>
      <c r="N29" s="33">
        <f>SUM(N24:N28)</f>
        <v>2689</v>
      </c>
      <c r="R29" s="147"/>
    </row>
    <row r="30" spans="1:18" x14ac:dyDescent="0.25">
      <c r="A30" s="110"/>
      <c r="B30" s="106"/>
      <c r="C30" s="106"/>
      <c r="D30" s="107"/>
      <c r="E30" s="107"/>
      <c r="F30" s="107"/>
      <c r="G30" s="106"/>
      <c r="H30" s="106"/>
      <c r="I30" s="106"/>
      <c r="J30" s="106"/>
      <c r="K30" s="108"/>
      <c r="L30" s="106"/>
      <c r="M30" s="111"/>
      <c r="N30" s="33"/>
      <c r="R30" s="147"/>
    </row>
    <row r="31" spans="1:18" x14ac:dyDescent="0.25">
      <c r="A31" s="110"/>
      <c r="B31" s="106"/>
      <c r="C31" s="106"/>
      <c r="D31" s="107"/>
      <c r="E31" s="107"/>
      <c r="F31" s="107"/>
      <c r="G31" s="106"/>
      <c r="H31" s="106"/>
      <c r="I31" s="106"/>
      <c r="J31" s="106"/>
      <c r="K31" s="108"/>
      <c r="L31" s="106"/>
      <c r="M31" s="111"/>
      <c r="N31" s="33"/>
      <c r="R31" s="147"/>
    </row>
    <row r="32" spans="1:18" ht="15.75" thickBot="1" x14ac:dyDescent="0.3">
      <c r="A32" s="110"/>
      <c r="B32" s="106"/>
      <c r="C32" s="106"/>
      <c r="D32" s="107"/>
      <c r="E32" s="107"/>
      <c r="F32" s="107"/>
      <c r="G32" s="106"/>
      <c r="H32" s="106"/>
      <c r="I32" s="106"/>
      <c r="J32" s="106"/>
      <c r="K32" s="108"/>
      <c r="L32" s="106"/>
      <c r="M32" s="111"/>
      <c r="N32" s="33"/>
      <c r="R32" s="147"/>
    </row>
    <row r="33" spans="1:22" ht="16.5" thickBot="1" x14ac:dyDescent="0.3">
      <c r="A33" s="175" t="s">
        <v>59</v>
      </c>
      <c r="B33" s="176"/>
      <c r="C33" s="176"/>
      <c r="D33" s="176"/>
      <c r="E33" s="176"/>
      <c r="F33" s="176"/>
      <c r="G33" s="176"/>
      <c r="H33" s="176"/>
      <c r="I33" s="176"/>
      <c r="J33" s="177"/>
      <c r="K33" s="48"/>
      <c r="L33" s="48"/>
      <c r="M33" s="88"/>
      <c r="N33" s="1"/>
      <c r="O33" s="59"/>
      <c r="Q33" s="60"/>
    </row>
    <row r="34" spans="1:22" ht="36" customHeight="1" x14ac:dyDescent="0.25">
      <c r="A34" s="182" t="s">
        <v>66</v>
      </c>
      <c r="B34" s="185" t="s">
        <v>60</v>
      </c>
      <c r="C34" s="185"/>
      <c r="D34" s="186" t="s">
        <v>61</v>
      </c>
      <c r="E34" s="186"/>
      <c r="F34" s="190" t="s">
        <v>62</v>
      </c>
      <c r="G34" s="190"/>
      <c r="H34" s="140" t="s">
        <v>50</v>
      </c>
      <c r="I34" s="140" t="s">
        <v>65</v>
      </c>
      <c r="J34" s="131" t="s">
        <v>51</v>
      </c>
      <c r="K34" s="48"/>
      <c r="L34" s="48"/>
      <c r="M34" s="88"/>
      <c r="N34" s="1"/>
      <c r="P34" s="181"/>
      <c r="Q34" s="181"/>
      <c r="R34" s="181"/>
      <c r="S34" s="71"/>
    </row>
    <row r="35" spans="1:22" x14ac:dyDescent="0.25">
      <c r="A35" s="183"/>
      <c r="B35" s="143" t="s">
        <v>23</v>
      </c>
      <c r="C35" s="143" t="s">
        <v>49</v>
      </c>
      <c r="D35" s="143" t="s">
        <v>23</v>
      </c>
      <c r="E35" s="143" t="s">
        <v>49</v>
      </c>
      <c r="F35" s="143" t="s">
        <v>23</v>
      </c>
      <c r="G35" s="143" t="s">
        <v>49</v>
      </c>
      <c r="H35" s="143" t="s">
        <v>58</v>
      </c>
      <c r="I35" s="115" t="s">
        <v>57</v>
      </c>
      <c r="J35" s="116" t="s">
        <v>56</v>
      </c>
      <c r="K35" s="48"/>
      <c r="L35" s="48"/>
      <c r="M35" s="88"/>
      <c r="N35" s="1"/>
      <c r="P35" s="61"/>
      <c r="Q35" s="61"/>
      <c r="R35" s="61"/>
      <c r="S35" s="71"/>
    </row>
    <row r="36" spans="1:22" x14ac:dyDescent="0.25">
      <c r="A36" s="183"/>
      <c r="B36" s="117">
        <v>2500</v>
      </c>
      <c r="C36" s="119">
        <f>B36/25.4/12</f>
        <v>8.2020997375328086</v>
      </c>
      <c r="D36" s="118">
        <f>F29</f>
        <v>2550</v>
      </c>
      <c r="E36" s="119">
        <f>D36/25.4/12</f>
        <v>8.3661417322834648</v>
      </c>
      <c r="F36" s="117">
        <f>D29</f>
        <v>9700</v>
      </c>
      <c r="G36" s="119">
        <f>F36/25.4/12</f>
        <v>31.824146981627297</v>
      </c>
      <c r="H36" s="118">
        <f>B29</f>
        <v>17</v>
      </c>
      <c r="I36" s="120" t="s">
        <v>79</v>
      </c>
      <c r="J36" s="121">
        <f>M29</f>
        <v>40910</v>
      </c>
      <c r="K36" s="48"/>
      <c r="L36" s="48"/>
      <c r="M36" s="88"/>
      <c r="N36" s="1"/>
      <c r="O36" t="s">
        <v>54</v>
      </c>
      <c r="P36" s="70" t="s">
        <v>52</v>
      </c>
      <c r="Q36" s="70" t="s">
        <v>52</v>
      </c>
      <c r="R36" s="70" t="s">
        <v>53</v>
      </c>
      <c r="S36" s="70"/>
    </row>
    <row r="37" spans="1:22" ht="16.5" thickBot="1" x14ac:dyDescent="0.3">
      <c r="A37" s="184"/>
      <c r="B37" s="187" t="s">
        <v>2</v>
      </c>
      <c r="C37" s="188"/>
      <c r="D37" s="188"/>
      <c r="E37" s="188"/>
      <c r="F37" s="188"/>
      <c r="G37" s="189"/>
      <c r="H37" s="122">
        <f>H36</f>
        <v>17</v>
      </c>
      <c r="I37" s="122" t="str">
        <f>I36</f>
        <v>2</v>
      </c>
      <c r="J37" s="135">
        <f>J36</f>
        <v>40910</v>
      </c>
      <c r="K37" s="48"/>
      <c r="L37" s="48"/>
      <c r="M37" s="88"/>
      <c r="N37" s="1"/>
      <c r="O37" s="69" t="s">
        <v>55</v>
      </c>
      <c r="P37" s="63" t="s">
        <v>52</v>
      </c>
      <c r="Q37" s="63" t="s">
        <v>52</v>
      </c>
      <c r="R37" s="63" t="s">
        <v>52</v>
      </c>
      <c r="S37" s="49"/>
      <c r="T37" s="64"/>
      <c r="U37" s="47"/>
      <c r="V37" s="49"/>
    </row>
    <row r="38" spans="1:22" ht="15.75" x14ac:dyDescent="0.25">
      <c r="A38" s="132"/>
      <c r="B38" s="129"/>
      <c r="C38" s="129"/>
      <c r="D38" s="129"/>
      <c r="E38" s="129"/>
      <c r="F38" s="129"/>
      <c r="G38" s="129"/>
      <c r="H38" s="130"/>
      <c r="I38" s="130"/>
      <c r="J38" s="130"/>
      <c r="K38" s="48"/>
      <c r="L38" s="48"/>
      <c r="M38" s="88"/>
      <c r="N38" s="1"/>
      <c r="O38" s="69"/>
      <c r="P38" s="63"/>
      <c r="Q38" s="63"/>
      <c r="R38" s="63"/>
      <c r="S38" s="49"/>
      <c r="T38" s="64"/>
      <c r="U38" s="47"/>
      <c r="V38" s="49"/>
    </row>
    <row r="39" spans="1:22" ht="15.75" x14ac:dyDescent="0.25">
      <c r="A39" s="132"/>
      <c r="B39" s="129"/>
      <c r="C39" s="129"/>
      <c r="D39" s="129"/>
      <c r="E39" s="129"/>
      <c r="F39" s="129"/>
      <c r="G39" s="129"/>
      <c r="H39" s="130"/>
      <c r="I39" s="130"/>
      <c r="J39" s="130"/>
      <c r="K39" s="48"/>
      <c r="L39" s="48"/>
      <c r="M39" s="88"/>
      <c r="N39" s="1"/>
      <c r="O39" s="69"/>
      <c r="P39" s="63"/>
      <c r="Q39" s="63"/>
      <c r="R39" s="63"/>
      <c r="S39" s="49"/>
      <c r="T39" s="64"/>
      <c r="U39" s="47"/>
      <c r="V39" s="49"/>
    </row>
    <row r="40" spans="1:22" ht="35.25" customHeight="1" x14ac:dyDescent="0.25">
      <c r="A40" s="178" t="s">
        <v>80</v>
      </c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80"/>
      <c r="N40" s="1"/>
      <c r="O40" s="65"/>
      <c r="P40" s="63"/>
      <c r="Q40" s="63"/>
      <c r="R40" s="62"/>
      <c r="S40" s="49"/>
      <c r="T40" s="64"/>
      <c r="U40" s="64"/>
      <c r="V40" s="49"/>
    </row>
    <row r="41" spans="1:22" x14ac:dyDescent="0.25">
      <c r="A41" s="109"/>
      <c r="B41" s="62"/>
      <c r="C41" s="62"/>
      <c r="D41" s="62"/>
      <c r="E41" s="62"/>
      <c r="F41" s="64"/>
      <c r="G41" s="64"/>
      <c r="H41" s="49"/>
      <c r="I41" s="50"/>
      <c r="J41" s="50"/>
      <c r="K41" s="50"/>
      <c r="L41" s="50"/>
      <c r="M41" s="89"/>
      <c r="N41" s="1"/>
    </row>
    <row r="42" spans="1:22" x14ac:dyDescent="0.25">
      <c r="A42" s="109"/>
      <c r="B42" s="62"/>
      <c r="C42" s="62"/>
      <c r="D42" s="62"/>
      <c r="E42" s="62"/>
      <c r="F42" s="64"/>
      <c r="G42" s="64"/>
      <c r="H42" s="49"/>
      <c r="I42" s="50"/>
      <c r="J42" s="50"/>
      <c r="K42" s="50"/>
      <c r="L42" s="50"/>
      <c r="M42" s="89"/>
      <c r="N42" s="1"/>
    </row>
    <row r="43" spans="1:22" x14ac:dyDescent="0.25">
      <c r="A43" s="90"/>
      <c r="B43" s="45"/>
      <c r="C43" s="45"/>
      <c r="D43" s="45"/>
      <c r="E43" s="45"/>
      <c r="F43" s="46"/>
      <c r="G43" s="51"/>
      <c r="H43" s="51"/>
      <c r="I43" s="50"/>
      <c r="J43" s="50"/>
      <c r="K43" s="50"/>
      <c r="L43" s="50"/>
      <c r="M43" s="89"/>
      <c r="N43" s="1"/>
    </row>
    <row r="44" spans="1:22" ht="15.75" x14ac:dyDescent="0.25">
      <c r="A44" s="198"/>
      <c r="B44" s="199"/>
      <c r="C44" s="199"/>
      <c r="D44" s="199"/>
      <c r="E44" s="199"/>
      <c r="F44" s="7"/>
      <c r="G44" s="3"/>
      <c r="H44" s="196" t="s">
        <v>15</v>
      </c>
      <c r="I44" s="196"/>
      <c r="J44" s="196"/>
      <c r="K44" s="196"/>
      <c r="L44" s="196"/>
      <c r="M44" s="197"/>
      <c r="N44" s="1"/>
    </row>
    <row r="45" spans="1:22" x14ac:dyDescent="0.25">
      <c r="A45" s="200"/>
      <c r="B45" s="201"/>
      <c r="C45" s="202"/>
      <c r="D45" s="202"/>
      <c r="E45" s="202"/>
      <c r="F45" s="7"/>
      <c r="G45" s="3"/>
      <c r="H45" s="3"/>
      <c r="I45" s="2"/>
      <c r="J45" s="2"/>
      <c r="K45" s="2"/>
      <c r="L45" s="2"/>
      <c r="M45" s="91"/>
      <c r="N45" s="1"/>
    </row>
    <row r="46" spans="1:22" x14ac:dyDescent="0.25">
      <c r="A46" s="203"/>
      <c r="B46" s="202"/>
      <c r="C46" s="202"/>
      <c r="D46" s="202"/>
      <c r="E46" s="202"/>
      <c r="F46" s="7"/>
      <c r="G46" s="3"/>
      <c r="H46" s="3"/>
      <c r="I46" s="2"/>
      <c r="J46" s="2"/>
      <c r="K46" s="2"/>
      <c r="L46" s="2"/>
      <c r="M46" s="91"/>
      <c r="N46" s="1"/>
    </row>
    <row r="47" spans="1:22" x14ac:dyDescent="0.25">
      <c r="A47" s="92"/>
      <c r="B47" s="8"/>
      <c r="C47" s="8"/>
      <c r="D47" s="8"/>
      <c r="E47" s="8"/>
      <c r="F47" s="7"/>
      <c r="G47" s="3"/>
      <c r="H47" s="3"/>
      <c r="I47" s="2"/>
      <c r="J47" s="2"/>
      <c r="K47" s="2"/>
      <c r="L47" s="2"/>
      <c r="M47" s="91"/>
      <c r="N47" s="1"/>
    </row>
    <row r="48" spans="1:22" x14ac:dyDescent="0.25">
      <c r="A48" s="92"/>
      <c r="B48" s="8"/>
      <c r="C48" s="8"/>
      <c r="D48" s="8"/>
      <c r="E48" s="8"/>
      <c r="F48" s="7"/>
      <c r="G48" s="3"/>
      <c r="H48" s="3"/>
      <c r="I48" s="8"/>
      <c r="J48" s="2"/>
      <c r="K48" s="2"/>
      <c r="L48" s="2"/>
      <c r="M48" s="91"/>
      <c r="N48" s="1"/>
    </row>
    <row r="49" spans="1:14" x14ac:dyDescent="0.25">
      <c r="A49" s="93"/>
      <c r="B49" s="2"/>
      <c r="C49" s="2"/>
      <c r="D49" s="2"/>
      <c r="E49" s="2"/>
      <c r="F49" s="7"/>
      <c r="G49" s="3"/>
      <c r="H49" s="3"/>
      <c r="I49" s="195"/>
      <c r="J49" s="195"/>
      <c r="K49" s="195"/>
      <c r="L49" s="195"/>
      <c r="M49" s="91"/>
      <c r="N49" s="1"/>
    </row>
    <row r="50" spans="1:14" x14ac:dyDescent="0.25">
      <c r="A50" s="93"/>
      <c r="B50" s="2"/>
      <c r="C50" s="2"/>
      <c r="D50" s="2"/>
      <c r="E50" s="2"/>
      <c r="F50" s="8"/>
      <c r="G50" s="3"/>
      <c r="H50" s="3"/>
      <c r="I50" s="8"/>
      <c r="J50" s="3"/>
      <c r="K50" s="3"/>
      <c r="L50" s="3"/>
      <c r="M50" s="94"/>
      <c r="N50" s="1"/>
    </row>
    <row r="51" spans="1:14" ht="15.75" x14ac:dyDescent="0.25">
      <c r="A51" s="123"/>
      <c r="B51" s="103"/>
      <c r="C51" s="103"/>
      <c r="D51" s="103"/>
      <c r="E51" s="103"/>
      <c r="F51" s="103"/>
      <c r="G51" s="103"/>
      <c r="H51" s="103"/>
      <c r="I51" s="196" t="s">
        <v>63</v>
      </c>
      <c r="J51" s="196"/>
      <c r="K51" s="196"/>
      <c r="L51" s="103"/>
      <c r="M51" s="124"/>
    </row>
    <row r="52" spans="1:14" x14ac:dyDescent="0.25">
      <c r="A52" s="95"/>
      <c r="B52" s="74"/>
      <c r="C52" s="74"/>
      <c r="D52" s="74"/>
      <c r="E52" s="74"/>
      <c r="F52" s="74"/>
      <c r="G52" s="74"/>
      <c r="H52" s="74"/>
      <c r="I52" s="204" t="s">
        <v>64</v>
      </c>
      <c r="J52" s="204"/>
      <c r="K52" s="204"/>
      <c r="L52" s="74"/>
      <c r="M52" s="96"/>
    </row>
    <row r="53" spans="1:14" x14ac:dyDescent="0.25">
      <c r="A53" s="95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96"/>
    </row>
    <row r="54" spans="1:14" ht="15.75" thickBot="1" x14ac:dyDescent="0.3">
      <c r="A54" s="112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4"/>
    </row>
    <row r="55" spans="1:14" x14ac:dyDescent="0.2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1:1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4" x14ac:dyDescent="0.25">
      <c r="A59" s="191" t="s">
        <v>46</v>
      </c>
      <c r="B59" s="192"/>
      <c r="C59" s="193"/>
      <c r="D59" s="193"/>
      <c r="E59" s="193"/>
      <c r="F59" s="194"/>
    </row>
    <row r="60" spans="1:14" ht="49.5" customHeight="1" x14ac:dyDescent="0.25">
      <c r="A60" s="35" t="s">
        <v>39</v>
      </c>
      <c r="B60" s="66"/>
      <c r="C60" s="34" t="s">
        <v>40</v>
      </c>
      <c r="D60" s="34" t="s">
        <v>41</v>
      </c>
      <c r="E60" s="34" t="s">
        <v>42</v>
      </c>
      <c r="F60" s="36" t="s">
        <v>43</v>
      </c>
      <c r="G60" s="52" t="s">
        <v>47</v>
      </c>
      <c r="H60" s="52" t="s">
        <v>48</v>
      </c>
    </row>
    <row r="61" spans="1:14" x14ac:dyDescent="0.25">
      <c r="A61" s="37" t="s">
        <v>44</v>
      </c>
      <c r="B61" s="67"/>
      <c r="C61" s="39">
        <v>9</v>
      </c>
      <c r="D61" s="39">
        <v>1700</v>
      </c>
      <c r="E61" s="43">
        <v>2925</v>
      </c>
      <c r="F61" s="40">
        <v>7600</v>
      </c>
    </row>
    <row r="62" spans="1:14" ht="15.75" thickBot="1" x14ac:dyDescent="0.3">
      <c r="A62" s="38" t="s">
        <v>45</v>
      </c>
      <c r="B62" s="68"/>
      <c r="C62" s="41">
        <v>9</v>
      </c>
      <c r="D62" s="44">
        <v>2550</v>
      </c>
      <c r="E62" s="41">
        <v>2400</v>
      </c>
      <c r="F62" s="42">
        <v>7600</v>
      </c>
    </row>
  </sheetData>
  <mergeCells count="37">
    <mergeCell ref="B28:C28"/>
    <mergeCell ref="J22:M22"/>
    <mergeCell ref="G22:I22"/>
    <mergeCell ref="J19:M19"/>
    <mergeCell ref="A22:A23"/>
    <mergeCell ref="D22:F22"/>
    <mergeCell ref="A59:F59"/>
    <mergeCell ref="I49:L49"/>
    <mergeCell ref="H44:M44"/>
    <mergeCell ref="A44:E44"/>
    <mergeCell ref="A45:E46"/>
    <mergeCell ref="I52:K52"/>
    <mergeCell ref="I51:K51"/>
    <mergeCell ref="A33:J33"/>
    <mergeCell ref="A40:M40"/>
    <mergeCell ref="P34:R34"/>
    <mergeCell ref="A34:A37"/>
    <mergeCell ref="B34:C34"/>
    <mergeCell ref="D34:E34"/>
    <mergeCell ref="B37:G37"/>
    <mergeCell ref="F34:G34"/>
    <mergeCell ref="R26:R32"/>
    <mergeCell ref="B29:C29"/>
    <mergeCell ref="J16:M16"/>
    <mergeCell ref="A8:M9"/>
    <mergeCell ref="J13:M13"/>
    <mergeCell ref="J12:M12"/>
    <mergeCell ref="J15:M15"/>
    <mergeCell ref="A11:E11"/>
    <mergeCell ref="J11:L11"/>
    <mergeCell ref="A17:E18"/>
    <mergeCell ref="B25:C25"/>
    <mergeCell ref="B27:C27"/>
    <mergeCell ref="J17:M17"/>
    <mergeCell ref="B22:C23"/>
    <mergeCell ref="B24:C24"/>
    <mergeCell ref="B26:C26"/>
  </mergeCells>
  <pageMargins left="0.39370078740157483" right="0.39370078740157483" top="0.55118110236220474" bottom="0.55118110236220474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cp:lastPrinted>2025-05-21T06:57:08Z</cp:lastPrinted>
  <dcterms:created xsi:type="dcterms:W3CDTF">2023-03-28T05:35:53Z</dcterms:created>
  <dcterms:modified xsi:type="dcterms:W3CDTF">2025-05-23T03:04:39Z</dcterms:modified>
</cp:coreProperties>
</file>